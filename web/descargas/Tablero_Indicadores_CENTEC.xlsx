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trucciones" sheetId="2" state="visible" r:id="rId4"/>
    <sheet name="Parámetros" sheetId="3" state="visible" r:id="rId5"/>
    <sheet name="Registro" sheetId="4" state="visible" r:id="rId6"/>
    <sheet name="Tablero" sheetId="5" state="visible" r:id="rId7"/>
    <sheet name="Año vs año" sheetId="6" state="visible" r:id="rId8"/>
    <sheet name="Lecc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Kappa ponderado entre dos observadores (lo calcula el aplicativo). Si es &lt; 0,60 la observación no cuenta.</t>
        </r>
      </text>
    </comment>
    <comment ref="P1" authorId="0">
      <text>
        <r>
          <rPr>
            <sz val="10"/>
            <rFont val="Arial"/>
            <family val="2"/>
          </rPr>
          <t xml:space="preserve">Promedio de g = (post − pre)/(100 − pre) por estudiante, excluyendo pre &gt; 90.</t>
        </r>
      </text>
    </comment>
  </commentList>
</comments>
</file>

<file path=xl/sharedStrings.xml><?xml version="1.0" encoding="utf-8"?>
<sst xmlns="http://schemas.openxmlformats.org/spreadsheetml/2006/main" count="281" uniqueCount="196">
  <si>
    <t xml:space="preserve">¿CÓMO VAMOS CON LA PLANEACIÓN?</t>
  </si>
  <si>
    <t xml:space="preserve">Tablero de lectura fácil · CENTEC Córdoba · Los números salen solos de la hoja «Registro»</t>
  </si>
  <si>
    <t xml:space="preserve">Año que quiere ver:</t>
  </si>
  <si>
    <t xml:space="preserve">Período (escriba 0 para todo el año):</t>
  </si>
  <si>
    <t xml:space="preserve">← cambie solo las casillas amarillas</t>
  </si>
  <si>
    <t xml:space="preserve">NOTA DEL COLEGIO (de 0 a 100)</t>
  </si>
  <si>
    <t xml:space="preserve">DATOS DE LOS GRÁFICOS (no editar)</t>
  </si>
  <si>
    <t xml:space="preserve">Docente</t>
  </si>
  <si>
    <t xml:space="preserve">Verde</t>
  </si>
  <si>
    <t xml:space="preserve">Amarillo</t>
  </si>
  <si>
    <t xml:space="preserve">Rojo</t>
  </si>
  <si>
    <t xml:space="preserve">Estado</t>
  </si>
  <si>
    <t xml:space="preserve">Docentes</t>
  </si>
  <si>
    <t xml:space="preserve">Gris</t>
  </si>
  <si>
    <t xml:space="preserve">¿CUÁNTOS DOCENTES ESTÁN EN CADA COLOR?</t>
  </si>
  <si>
    <t xml:space="preserve">VERDE</t>
  </si>
  <si>
    <t xml:space="preserve">AMARILLO</t>
  </si>
  <si>
    <t xml:space="preserve">ROJO</t>
  </si>
  <si>
    <t xml:space="preserve">GRIS</t>
  </si>
  <si>
    <t xml:space="preserve">Componente</t>
  </si>
  <si>
    <t xml:space="preserve">Valor</t>
  </si>
  <si>
    <t xml:space="preserve">Planeó a tiempo</t>
  </si>
  <si>
    <t xml:space="preserve">Cumplió las semanas</t>
  </si>
  <si>
    <t xml:space="preserve">Enseñó los DBA</t>
  </si>
  <si>
    <t xml:space="preserve">cumplen muy bien</t>
  </si>
  <si>
    <t xml:space="preserve">cumplen a medias</t>
  </si>
  <si>
    <t xml:space="preserve">no cumplen</t>
  </si>
  <si>
    <t xml:space="preserve">faltan datos</t>
  </si>
  <si>
    <t xml:space="preserve">Calidad del planeador</t>
  </si>
  <si>
    <t xml:space="preserve">Cuadernos</t>
  </si>
  <si>
    <t xml:space="preserve">Clase observada</t>
  </si>
  <si>
    <t xml:space="preserve">NOTA DE CADA DOCENTE (de 0 a 100) · el color dice cómo va</t>
  </si>
  <si>
    <t xml:space="preserve">Lo que aprendieron</t>
  </si>
  <si>
    <t xml:space="preserve">Inclusión (PIAR)</t>
  </si>
  <si>
    <t xml:space="preserve">Proyectos transversales</t>
  </si>
  <si>
    <t xml:space="preserve">Opinión de estudiantes</t>
  </si>
  <si>
    <t xml:space="preserve">Año</t>
  </si>
  <si>
    <t xml:space="preserve">Nota del colegio</t>
  </si>
  <si>
    <t xml:space="preserve">¿EN QUÉ SOMOS BUENOS Y QUÉ FALTA?</t>
  </si>
  <si>
    <t xml:space="preserve">DOCENTES POR COLOR</t>
  </si>
  <si>
    <t xml:space="preserve">Meta de cada componente: 85 o más (verde). Entre 70 y 84 es amarillo. Menos de 70 es rojo.</t>
  </si>
  <si>
    <t xml:space="preserve">¿QUÉ PARTE DEL TRABAJO VA MEJOR Y CUÁL PEOR? (promedio del colegio, de 0 a 100)</t>
  </si>
  <si>
    <t xml:space="preserve">¿VAMOS MEJORANDO AÑO TRAS AÑO? (nota del colegio)</t>
  </si>
  <si>
    <t xml:space="preserve">CÓMO LEER ESTE TABLERO</t>
  </si>
  <si>
    <t xml:space="preserve">•  La nota va de 0 a 100. Más alta es mejor.</t>
  </si>
  <si>
    <t xml:space="preserve">•  Verde (85 o más): cumple muy bien. Amarillo (70 a 84): cumple a medias. Rojo (menos de 70): no cumple. Gris: faltan datos para calificar.</t>
  </si>
  <si>
    <t xml:space="preserve">•  La nota no la pone una sola persona: combina planeadores, semanas cumplidas, cuadernos sorteados, clases observadas por dos personas, lo que aprendieron los estudiantes y su opinión.</t>
  </si>
  <si>
    <t xml:space="preserve">•  Una diferencia de 5 puntos o más entre años es un cambio real; menos de 5 se considera igual.</t>
  </si>
  <si>
    <t xml:space="preserve">•  Para ver otro año o período, cambie las casillas amarillas de arriba.</t>
  </si>
  <si>
    <t xml:space="preserve">TABLERO DE INDICADORES — PLANEACIÓN ACADÉMICA CENTEC (multi-año: 2027, 2028, …)</t>
  </si>
  <si>
    <t xml:space="preserve">Complemento en Excel del aplicativo Sistema de Planeación CENTEC. Sirve para auditar en papel/Excel o cuando no haya conexión. Las fórmulas son las mismas del aplicativo (v1.0).</t>
  </si>
  <si>
    <t xml:space="preserve">CÓMO USARLO</t>
  </si>
  <si>
    <t xml:space="preserve">1. Celdas con fondo amarillo = datos que usted digita. Celdas blancas = fórmulas (no las edite).</t>
  </si>
  <si>
    <t xml:space="preserve">2. Hoja «Registro»: una fila por docente y período, para cualquier año (columna Año). Las filas marcadas EJEMPLO muestran el formato: bórrelas antes de usar.</t>
  </si>
  <si>
    <t xml:space="preserve">3. Hoja «Parámetros»: pesos, umbrales y constantes. Si se cambian, suba la versión: el comparativo año a año dejará de ser comparable.</t>
  </si>
  <si>
    <t xml:space="preserve">4. Hoja «Tablero»: resumen por docente y por año. Hoja «Año vs año»: compara automáticamente cada indicador entre 2027 y 2031.</t>
  </si>
  <si>
    <t xml:space="preserve">5. Hoja «Lecciones»: decisiones del cierre anual (mantener / ajustar / eliminar / escalar) que alimentan la planeación del año siguiente.</t>
  </si>
  <si>
    <t xml:space="preserve">REGLAS QUE EVITAN EL SESGO</t>
  </si>
  <si>
    <t xml:space="preserve">• Ejecución &lt; 60 % ⇒ rojo automático</t>
  </si>
  <si>
    <t xml:space="preserve">• PIAR &lt; 80 % ⇒ máximo amarillo</t>
  </si>
  <si>
    <t xml:space="preserve">• Observación &lt; 50 con 2 observadores ⇒ máximo amarillo</t>
  </si>
  <si>
    <t xml:space="preserve">• Nunca rojo con kappa &lt; 0,60: repetir observación</t>
  </si>
  <si>
    <t xml:space="preserve">• Menos de 3 fuentes ⇒ sin calificación</t>
  </si>
  <si>
    <t xml:space="preserve">• Fuentes que difieren &gt; 25 puntos ⇒ triangular antes del color</t>
  </si>
  <si>
    <t xml:space="preserve">• La normalización por observador (indulgencia/severidad) la calcula el aplicativo; en Excel digite el promedio Teach ya normalizado que reporta el aplicativo, o el promedio crudo si no lo usa.</t>
  </si>
  <si>
    <t xml:space="preserve">FUENTES: Teach (Banco Mundial) para observación; ganancia normalizada de Hake (1998) con contracción bayesiana; MET Project para pesos; EEF Toolkit y Dunlosky et al. (2013) para prácticas.</t>
  </si>
  <si>
    <t xml:space="preserve">Parámetro</t>
  </si>
  <si>
    <t xml:space="preserve">Descripción / fuente</t>
  </si>
  <si>
    <t xml:space="preserve">C1 Planeación entregada a tiempo</t>
  </si>
  <si>
    <t xml:space="preserve">planeadores entregados ≤ fecha límite / exigidos × 100</t>
  </si>
  <si>
    <t xml:space="preserve">C2 Ejecución de semanas planeadas</t>
  </si>
  <si>
    <t xml:space="preserve">semanas con evidencia fechada (cuaderno/foto/SABI) que coincide con el planeador / semanas planeadas × 100</t>
  </si>
  <si>
    <t xml:space="preserve">C3 Cobertura de DBA</t>
  </si>
  <si>
    <t xml:space="preserve">DBA con actividad y evaluación evidenciadas / DBA programados del período × 100</t>
  </si>
  <si>
    <t xml:space="preserve">C4 Calidad del planeador (R1)</t>
  </si>
  <si>
    <t xml:space="preserve">suma de 8 criterios 0–3 / 24 × 100</t>
  </si>
  <si>
    <t xml:space="preserve">C5 Revisión de cuadernos (R2)</t>
  </si>
  <si>
    <t xml:space="preserve">promedio rúbrica 0–3 en muestra aleatoria ciega → 0–100</t>
  </si>
  <si>
    <t xml:space="preserve">C6 Observación de aula (Teach)</t>
  </si>
  <si>
    <t xml:space="preserve">(promedio 9 elementos − 1)/4 × 100; kappa ≥ 0,60; normalizado por observador</t>
  </si>
  <si>
    <t xml:space="preserve">C7 Ganancia de aprendizaje</t>
  </si>
  <si>
    <t xml:space="preserve">g Hake por estudiante (pre ≤ 90) → contracción n/(n+10) → g 0,10=0 · 0,50=100</t>
  </si>
  <si>
    <t xml:space="preserve">C8 PIAR y ajustes razonables</t>
  </si>
  <si>
    <t xml:space="preserve">ajustes verificados / ajustes comprometidos × 100</t>
  </si>
  <si>
    <t xml:space="preserve">C9 Proyectos transversales</t>
  </si>
  <si>
    <t xml:space="preserve">fases INSPIRA–DISEÑA–EXPLORA–CREA–EVALÚA evidenciadas / 5 × 100</t>
  </si>
  <si>
    <t xml:space="preserve">C10 Percepción estudiantil (7Cs adaptada)</t>
  </si>
  <si>
    <t xml:space="preserve">promedio 10 ítems → 0–100; solo si n ≥ 10; anónima</t>
  </si>
  <si>
    <t xml:space="preserve">Suma de pesos (debe ser 100 %)</t>
  </si>
  <si>
    <t xml:space="preserve">Control</t>
  </si>
  <si>
    <t xml:space="preserve">Umbral verde</t>
  </si>
  <si>
    <t xml:space="preserve">ICD ≥ 85</t>
  </si>
  <si>
    <t xml:space="preserve">Umbral amarillo</t>
  </si>
  <si>
    <t xml:space="preserve">ICD 70–84; menor que 70 = rojo</t>
  </si>
  <si>
    <t xml:space="preserve">Kappa mínimo</t>
  </si>
  <si>
    <t xml:space="preserve">Landis y Koch: ≥ 0,61 sustancial. Por debajo, la observación no cuenta</t>
  </si>
  <si>
    <t xml:space="preserve">k de contracción</t>
  </si>
  <si>
    <t xml:space="preserve">g ajustada = n/(n+k)·g + k/(n+k)·g media</t>
  </si>
  <si>
    <t xml:space="preserve">g media del colegio</t>
  </si>
  <si>
    <t xml:space="preserve">Actualizar cada año con el promedio institucional real (2027: supuesto inicial, Hake 1998)</t>
  </si>
  <si>
    <t xml:space="preserve">Mínimo de fuentes</t>
  </si>
  <si>
    <t xml:space="preserve">Sin 3 fuentes no se asigna color</t>
  </si>
  <si>
    <t xml:space="preserve">Versión de fórmulas</t>
  </si>
  <si>
    <t xml:space="preserve">1.0</t>
  </si>
  <si>
    <t xml:space="preserve">Cambia si cambia cualquier peso o fórmula</t>
  </si>
  <si>
    <t xml:space="preserve">Período</t>
  </si>
  <si>
    <t xml:space="preserve">Grado / área</t>
  </si>
  <si>
    <t xml:space="preserve">Planeadores exigidos</t>
  </si>
  <si>
    <t xml:space="preserve">Planeadores a tiempo</t>
  </si>
  <si>
    <t xml:space="preserve">Semanas planeadas</t>
  </si>
  <si>
    <t xml:space="preserve">Semanas con evidencia</t>
  </si>
  <si>
    <t xml:space="preserve">DBA programados</t>
  </si>
  <si>
    <t xml:space="preserve">DBA evidenciados</t>
  </si>
  <si>
    <t xml:space="preserve">R1 total (0–24)</t>
  </si>
  <si>
    <t xml:space="preserve">R2 promedio (0–3)</t>
  </si>
  <si>
    <t xml:space="preserve">Teach promedio (1–5)</t>
  </si>
  <si>
    <t xml:space="preserve">κ ponderado (vacío si 1 obs.)</t>
  </si>
  <si>
    <t xml:space="preserve">Observadores distintos</t>
  </si>
  <si>
    <t xml:space="preserve">g promedio estudiantes</t>
  </si>
  <si>
    <t xml:space="preserve">n estudiantes (pre ≤ 90)</t>
  </si>
  <si>
    <t xml:space="preserve">Ajustes PIAR comprometidos</t>
  </si>
  <si>
    <t xml:space="preserve">Ajustes PIAR verificados</t>
  </si>
  <si>
    <t xml:space="preserve">Fases transversales evidenciadas</t>
  </si>
  <si>
    <t xml:space="preserve">Proyectos asignados</t>
  </si>
  <si>
    <t xml:space="preserve">Encuesta promedio (1–5)</t>
  </si>
  <si>
    <t xml:space="preserve">n encuesta</t>
  </si>
  <si>
    <t xml:space="preserve">C1 Puntualidad</t>
  </si>
  <si>
    <t xml:space="preserve">C2 Ejecución</t>
  </si>
  <si>
    <t xml:space="preserve">C3 Cobertura DBA</t>
  </si>
  <si>
    <t xml:space="preserve">C4 Planeador</t>
  </si>
  <si>
    <t xml:space="preserve">C5 Cuadernos</t>
  </si>
  <si>
    <t xml:space="preserve">C6 Observación</t>
  </si>
  <si>
    <t xml:space="preserve">C7 Aprendizaje</t>
  </si>
  <si>
    <t xml:space="preserve">C8 PIAR</t>
  </si>
  <si>
    <t xml:space="preserve">C9 Transversal</t>
  </si>
  <si>
    <t xml:space="preserve">C10 Estudiantes</t>
  </si>
  <si>
    <t xml:space="preserve">Fuentes con dato</t>
  </si>
  <si>
    <t xml:space="preserve">ICD sin tope</t>
  </si>
  <si>
    <t xml:space="preserve">Tope por reglas</t>
  </si>
  <si>
    <t xml:space="preserve">ICD</t>
  </si>
  <si>
    <t xml:space="preserve">Regla aplicada</t>
  </si>
  <si>
    <t xml:space="preserve">EJEMPLO Docente A</t>
  </si>
  <si>
    <t xml:space="preserve">Transición</t>
  </si>
  <si>
    <t xml:space="preserve">EJEMPLO Docente B</t>
  </si>
  <si>
    <t xml:space="preserve">1° Integrada</t>
  </si>
  <si>
    <t xml:space="preserve">EJEMPLO Docente C</t>
  </si>
  <si>
    <t xml:space="preserve">3° Integrada</t>
  </si>
  <si>
    <t xml:space="preserve">EJEMPLO Docente D</t>
  </si>
  <si>
    <t xml:space="preserve">5° Integrada</t>
  </si>
  <si>
    <t xml:space="preserve">EJEMPLO Docente E</t>
  </si>
  <si>
    <t xml:space="preserve">Inglés primaria</t>
  </si>
  <si>
    <t xml:space="preserve">EJEMPLO Docente F</t>
  </si>
  <si>
    <t xml:space="preserve">Matemáticas 6°–9°</t>
  </si>
  <si>
    <t xml:space="preserve">EJEMPLO Docente G</t>
  </si>
  <si>
    <t xml:space="preserve">Lenguaje 6°–11°</t>
  </si>
  <si>
    <t xml:space="preserve">EJEMPLO Docente H</t>
  </si>
  <si>
    <t xml:space="preserve">Ciencias 6°–11°</t>
  </si>
  <si>
    <t xml:space="preserve">TABLERO DEL AÑO</t>
  </si>
  <si>
    <t xml:space="preserve">Año a analizar</t>
  </si>
  <si>
    <t xml:space="preserve">← se cambia en la hoja Dashboard</t>
  </si>
  <si>
    <t xml:space="preserve">Período (0 = año completo)</t>
  </si>
  <si>
    <t xml:space="preserve">ICD institucional</t>
  </si>
  <si>
    <t xml:space="preserve">Registros en Verde</t>
  </si>
  <si>
    <t xml:space="preserve">Registros en Amarillo</t>
  </si>
  <si>
    <t xml:space="preserve">Registros en Rojo</t>
  </si>
  <si>
    <t xml:space="preserve">Registros en Gris (faltan datos)</t>
  </si>
  <si>
    <t xml:space="preserve">Componente (promedio institucional)</t>
  </si>
  <si>
    <t xml:space="preserve">Meta / lectura</t>
  </si>
  <si>
    <t xml:space="preserve">≥ 85 verde · 70–84 amarillo · &lt; 70 rojo</t>
  </si>
  <si>
    <t xml:space="preserve">ICD del año/período</t>
  </si>
  <si>
    <t xml:space="preserve">Escriba o pegue los nombres de los docentes en la columna A</t>
  </si>
  <si>
    <t xml:space="preserve">COMPARATIVO INTERANUAL (mismas fórmulas, misma escala)</t>
  </si>
  <si>
    <t xml:space="preserve">Una variación ≥ 5 puntos se considera cambio real. Agregue años en la fila 4 (texto).</t>
  </si>
  <si>
    <t xml:space="preserve">Indicador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</si>
  <si>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</si>
  <si>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</si>
  <si>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</si>
  <si>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</si>
  <si>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</si>
  <si>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Δ último año con dato</t>
  </si>
  <si>
    <t xml:space="preserve">Tendencia</t>
  </si>
  <si>
    <t xml:space="preserve">Docentes en rojo (registros)</t>
  </si>
  <si>
    <t xml:space="preserve">Meta</t>
  </si>
  <si>
    <t xml:space="preserve">Resultado</t>
  </si>
  <si>
    <t xml:space="preserve">Brecha</t>
  </si>
  <si>
    <t xml:space="preserve">Causa raíz (5 porqués)</t>
  </si>
  <si>
    <t xml:space="preserve">Decisión</t>
  </si>
  <si>
    <t xml:space="preserve">Acción para el año siguiente</t>
  </si>
  <si>
    <t xml:space="preserve">Responsable</t>
  </si>
  <si>
    <t xml:space="preserve">Fecha de verificación</t>
  </si>
  <si>
    <t xml:space="preserve">EJEMPLO: C2 Ejecución</t>
  </si>
  <si>
    <t xml:space="preserve">Semanas de evaluación y eventos no contemplados en la malla</t>
  </si>
  <si>
    <t xml:space="preserve">Ajustar</t>
  </si>
  <si>
    <t xml:space="preserve">Reservar 1 semana de margen por período en la malla 2028</t>
  </si>
  <si>
    <t xml:space="preserve">Coordinación académica</t>
  </si>
  <si>
    <t xml:space="preserve">2028-04-15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</si>
</sst>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;;;"/>
    <numFmt numFmtId="167" formatCode="General"/>
    <numFmt numFmtId="168" formatCode="0%"/>
    <numFmt numFmtId="169" formatCode="0.0"/>
    <numFmt numFmtId="170" formatCode="\+0.0;\-0.0;0.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A6B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5"/>
      <color rgb="FF1A1A1A"/>
      <name val="Arial"/>
      <family val="0"/>
      <charset val="1"/>
    </font>
    <font>
      <b val="true"/>
      <sz val="10"/>
      <color rgb="FF777777"/>
      <name val="Arial"/>
      <family val="0"/>
      <charset val="1"/>
    </font>
    <font>
      <b val="true"/>
      <sz val="48"/>
      <color rgb="FF1B2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3"/>
      <color rgb="FF1B2A6B"/>
      <name val="Arial"/>
      <family val="0"/>
      <charset val="1"/>
    </font>
    <font>
      <b val="true"/>
      <sz val="34"/>
      <color rgb="FF2E9E5B"/>
      <name val="Arial"/>
      <family val="0"/>
      <charset val="1"/>
    </font>
    <font>
      <b val="true"/>
      <sz val="34"/>
      <color rgb="FFE8A317"/>
      <name val="Arial"/>
      <family val="0"/>
      <charset val="1"/>
    </font>
    <font>
      <b val="true"/>
      <sz val="34"/>
      <color rgb="FFD2463A"/>
      <name val="Arial"/>
      <family val="0"/>
      <charset val="1"/>
    </font>
    <font>
      <b val="true"/>
      <sz val="34"/>
      <color rgb="FF9AA5AD"/>
      <name val="Arial"/>
      <family val="0"/>
      <charset val="1"/>
    </font>
    <font>
      <sz val="10"/>
      <color rgb="FF333333"/>
      <name val="Arial"/>
      <family val="0"/>
      <charset val="1"/>
    </font>
    <font>
      <sz val="12"/>
      <color rgb="FF333333"/>
      <name val="Arial"/>
      <family val="0"/>
      <charset val="1"/>
    </font>
    <font>
      <b val="true"/>
      <sz val="12"/>
      <color rgb="FF1B5E35"/>
      <name val="Arial"/>
      <family val="0"/>
      <charset val="1"/>
    </font>
    <font>
      <b val="true"/>
      <sz val="12"/>
      <color rgb="FF8A2A20"/>
      <name val="Arial"/>
      <family val="0"/>
      <charset val="1"/>
    </font>
    <font>
      <b val="true"/>
      <sz val="12"/>
      <color rgb="FF6B4A00"/>
      <name val="Arial"/>
      <family val="0"/>
      <charset val="1"/>
    </font>
    <font>
      <sz val="11"/>
      <color rgb="FF333333"/>
      <name val="Arial"/>
      <family val="0"/>
      <charset val="1"/>
    </font>
    <font>
      <sz val="10"/>
      <color rgb="FF000000"/>
      <name val="Calibri"/>
      <family val="2"/>
    </font>
    <font>
      <b val="true"/>
      <sz val="14"/>
      <color rgb="FF1B2A6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9771E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7CC"/>
        <bgColor rgb="FFFCEFCF"/>
      </patternFill>
    </fill>
    <fill>
      <patternFill patternType="solid">
        <fgColor rgb="FF1B2A6B"/>
        <bgColor rgb="FF333333"/>
      </patternFill>
    </fill>
    <fill>
      <patternFill patternType="solid">
        <fgColor rgb="FFF4F6FA"/>
        <bgColor rgb="FFF9F9F9"/>
      </patternFill>
    </fill>
    <fill>
      <patternFill patternType="solid">
        <fgColor rgb="FF2E9E5B"/>
        <bgColor rgb="FF008080"/>
      </patternFill>
    </fill>
    <fill>
      <patternFill patternType="solid">
        <fgColor rgb="FFE8A317"/>
        <bgColor rgb="FFFFCC00"/>
      </patternFill>
    </fill>
    <fill>
      <patternFill patternType="solid">
        <fgColor rgb="FFD2463A"/>
        <bgColor rgb="FFD9771E"/>
      </patternFill>
    </fill>
    <fill>
      <patternFill patternType="solid">
        <fgColor rgb="FF9AA5AD"/>
        <bgColor rgb="FF878787"/>
      </patternFill>
    </fill>
    <fill>
      <patternFill patternType="solid">
        <fgColor rgb="FFDDF2E5"/>
        <bgColor rgb="FFD7F0DF"/>
      </patternFill>
    </fill>
    <fill>
      <patternFill patternType="solid">
        <fgColor rgb="FFFCEFCF"/>
        <bgColor rgb="FFFBEFD2"/>
      </patternFill>
    </fill>
    <fill>
      <patternFill patternType="solid">
        <fgColor rgb="FFF8DCD8"/>
        <bgColor rgb="FFF7D9D5"/>
      </patternFill>
    </fill>
    <fill>
      <patternFill patternType="solid">
        <fgColor rgb="FFE9ECEE"/>
        <bgColor rgb="FFE6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DF2E5"/>
        </patternFill>
      </fill>
    </dxf>
    <dxf>
      <fill>
        <patternFill>
          <bgColor rgb="FFFCEFCF"/>
        </patternFill>
      </fill>
    </dxf>
    <dxf>
      <fill>
        <patternFill>
          <bgColor rgb="FFF8DCD8"/>
        </patternFill>
      </fill>
    </dxf>
    <dxf>
      <fill>
        <patternFill>
          <bgColor rgb="FFD7F0DF"/>
        </patternFill>
      </fill>
    </dxf>
    <dxf>
      <fill>
        <patternFill>
          <bgColor rgb="FFFBEFD2"/>
        </patternFill>
      </fill>
    </dxf>
    <dxf>
      <fill>
        <patternFill>
          <bgColor rgb="FFF7D9D5"/>
        </patternFill>
      </fill>
    </dxf>
    <dxf>
      <fill>
        <patternFill>
          <bgColor rgb="FFE6E9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EFD2"/>
      <rgbColor rgb="FFFF00FF"/>
      <rgbColor rgb="FF00FFFF"/>
      <rgbColor rgb="FF800000"/>
      <rgbColor rgb="FF1B5E35"/>
      <rgbColor rgb="FF000080"/>
      <rgbColor rgb="FF777777"/>
      <rgbColor rgb="FF800080"/>
      <rgbColor rgb="FF008080"/>
      <rgbColor rgb="FFD9D9D9"/>
      <rgbColor rgb="FF878787"/>
      <rgbColor rgb="FF9999FF"/>
      <rgbColor rgb="FFD2463A"/>
      <rgbColor rgb="FFFFF7CC"/>
      <rgbColor rgb="FFDDF2E5"/>
      <rgbColor rgb="FF660066"/>
      <rgbColor rgb="FFFF8080"/>
      <rgbColor rgb="FF0066CC"/>
      <rgbColor rgb="FFC8CED8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E9ECEE"/>
      <rgbColor rgb="FFD7F0DF"/>
      <rgbColor rgb="FFFCEFCF"/>
      <rgbColor rgb="FFE6E9EC"/>
      <rgbColor rgb="FFF8DCD8"/>
      <rgbColor rgb="FFF4F6FA"/>
      <rgbColor rgb="FFF7D9D5"/>
      <rgbColor rgb="FF4F81BD"/>
      <rgbColor rgb="FF33CCCC"/>
      <rgbColor rgb="FF99CC00"/>
      <rgbColor rgb="FFFFCC00"/>
      <rgbColor rgb="FFE8A317"/>
      <rgbColor rgb="FFD9771E"/>
      <rgbColor rgb="FF666666"/>
      <rgbColor rgb="FF9AA5AD"/>
      <rgbColor rgb="FF1B2A6B"/>
      <rgbColor rgb="FF2E9E5B"/>
      <rgbColor rgb="FF003300"/>
      <rgbColor rgb="FF1A1A1A"/>
      <rgbColor rgb="FF8A2A20"/>
      <rgbColor rgb="FF6B4A00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Dashboard!Q7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2e9e5b"/>
            </a:solidFill>
            <a:ln w="9360">
              <a:solidFill>
                <a:srgbClr val="2e9e5b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Dashboard!$P$8:$P$19</c:f>
              <c:strCache>
                <c:ptCount val="12"/>
                <c:pt idx="0">
                  <c:v>Docente A</c:v>
                </c:pt>
                <c:pt idx="1">
                  <c:v>Docente B</c:v>
                </c:pt>
                <c:pt idx="2">
                  <c:v>Docente C</c:v>
                </c:pt>
                <c:pt idx="3">
                  <c:v>Docente D</c:v>
                </c:pt>
                <c:pt idx="4">
                  <c:v>Docente E</c:v>
                </c:pt>
                <c:pt idx="5">
                  <c:v>Docente F</c:v>
                </c:pt>
                <c:pt idx="6">
                  <c:v>Docente G</c:v>
                </c:pt>
                <c:pt idx="7">
                  <c:v>Docente H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Dashboard!$Q$8:$Q$19</c:f>
              <c:numCache>
                <c:formatCode>0;;;</c:formatCode>
                <c:ptCount val="12"/>
                <c:pt idx="0">
                  <c:v>94</c:v>
                </c:pt>
                <c:pt idx="1">
                  <c:v>0</c:v>
                </c:pt>
                <c:pt idx="2">
                  <c:v>0</c:v>
                </c:pt>
                <c:pt idx="3">
                  <c:v>91</c:v>
                </c:pt>
                <c:pt idx="4">
                  <c:v>0</c:v>
                </c:pt>
                <c:pt idx="5">
                  <c:v>0</c:v>
                </c:pt>
                <c:pt idx="6">
                  <c:v>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Dashboard!R7</c:f>
              <c:strCache>
                <c:ptCount val="1"/>
                <c:pt idx="0">
                  <c:v>Amarillo</c:v>
                </c:pt>
              </c:strCache>
            </c:strRef>
          </c:tx>
          <c:spPr>
            <a:solidFill>
              <a:srgbClr val="e8a317"/>
            </a:solidFill>
            <a:ln w="9360">
              <a:solidFill>
                <a:srgbClr val="e8a317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Dashboard!$P$8:$P$19</c:f>
              <c:strCache>
                <c:ptCount val="12"/>
                <c:pt idx="0">
                  <c:v>Docente A</c:v>
                </c:pt>
                <c:pt idx="1">
                  <c:v>Docente B</c:v>
                </c:pt>
                <c:pt idx="2">
                  <c:v>Docente C</c:v>
                </c:pt>
                <c:pt idx="3">
                  <c:v>Docente D</c:v>
                </c:pt>
                <c:pt idx="4">
                  <c:v>Docente E</c:v>
                </c:pt>
                <c:pt idx="5">
                  <c:v>Docente F</c:v>
                </c:pt>
                <c:pt idx="6">
                  <c:v>Docente G</c:v>
                </c:pt>
                <c:pt idx="7">
                  <c:v>Docente H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Dashboard!$R$8:$R$19</c:f>
              <c:numCache>
                <c:formatCode>0;;;</c:formatCode>
                <c:ptCount val="12"/>
                <c:pt idx="0">
                  <c:v>0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72</c:v>
                </c:pt>
                <c:pt idx="5">
                  <c:v>0</c:v>
                </c:pt>
                <c:pt idx="6">
                  <c:v>0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Dashboard!S7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d2463a"/>
            </a:solidFill>
            <a:ln w="9360">
              <a:solidFill>
                <a:srgbClr val="d2463a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Dashboard!$P$8:$P$19</c:f>
              <c:strCache>
                <c:ptCount val="12"/>
                <c:pt idx="0">
                  <c:v>Docente A</c:v>
                </c:pt>
                <c:pt idx="1">
                  <c:v>Docente B</c:v>
                </c:pt>
                <c:pt idx="2">
                  <c:v>Docente C</c:v>
                </c:pt>
                <c:pt idx="3">
                  <c:v>Docente D</c:v>
                </c:pt>
                <c:pt idx="4">
                  <c:v>Docente E</c:v>
                </c:pt>
                <c:pt idx="5">
                  <c:v>Docente F</c:v>
                </c:pt>
                <c:pt idx="6">
                  <c:v>Docente G</c:v>
                </c:pt>
                <c:pt idx="7">
                  <c:v>Docente H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Dashboard!$S$8:$S$19</c:f>
              <c:numCache>
                <c:formatCode>0;;;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overlap val="100"/>
        <c:axId val="61942463"/>
        <c:axId val="15946711"/>
      </c:barChart>
      <c:catAx>
        <c:axId val="6194246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6711"/>
        <c:crosses val="autoZero"/>
        <c:auto val="1"/>
        <c:lblAlgn val="ctr"/>
        <c:lblOffset val="100"/>
        <c:noMultiLvlLbl val="0"/>
      </c:catAx>
      <c:valAx>
        <c:axId val="15946711"/>
        <c:scaling>
          <c:orientation val="minMax"/>
          <c:max val="100"/>
          <c:min val="0"/>
        </c:scaling>
        <c:delete val="1"/>
        <c:axPos val="l"/>
        <c:numFmt formatCode="0;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42463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Dashboard!V7</c:f>
              <c:strCache>
                <c:ptCount val="1"/>
                <c:pt idx="0">
                  <c:v>Docentes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9e5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8a31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2463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aa5ad"/>
              </a:solidFill>
              <a:ln w="0">
                <a:noFill/>
              </a:ln>
            </c:spPr>
          </c:dPt>
          <c:dLbls>
            <c:numFmt formatCode="0;;;" sourceLinked="1"/>
            <c:dLbl>
              <c:idx val="0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Dashboard!$U$8:$U$11</c:f>
              <c:strCache>
                <c:ptCount val="4"/>
                <c:pt idx="0">
                  <c:v>Verde</c:v>
                </c:pt>
                <c:pt idx="1">
                  <c:v>Amarillo</c:v>
                </c:pt>
                <c:pt idx="2">
                  <c:v>Rojo</c:v>
                </c:pt>
                <c:pt idx="3">
                  <c:v>Gris</c:v>
                </c:pt>
              </c:strCache>
            </c:strRef>
          </c:cat>
          <c:val>
            <c:numRef>
              <c:f>Dashboard!$V$8:$V$11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Dashboard!V14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2e9e5b"/>
            </a:solidFill>
            <a:ln w="9360">
              <a:solidFill>
                <a:srgbClr val="2e9e5b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Dashboard!$U$15:$U$24</c:f>
              <c:strCache>
                <c:ptCount val="10"/>
                <c:pt idx="0">
                  <c:v>Planeó a tiempo</c:v>
                </c:pt>
                <c:pt idx="1">
                  <c:v>Cumplió las semanas</c:v>
                </c:pt>
                <c:pt idx="2">
                  <c:v>Enseñó los DBA</c:v>
                </c:pt>
                <c:pt idx="3">
                  <c:v>Calidad del planeador</c:v>
                </c:pt>
                <c:pt idx="4">
                  <c:v>Cuadernos</c:v>
                </c:pt>
                <c:pt idx="5">
                  <c:v>Clase observada</c:v>
                </c:pt>
                <c:pt idx="6">
                  <c:v>Lo que aprendieron</c:v>
                </c:pt>
                <c:pt idx="7">
                  <c:v>Inclusión (PIAR)</c:v>
                </c:pt>
                <c:pt idx="8">
                  <c:v>Proyectos transversales</c:v>
                </c:pt>
                <c:pt idx="9">
                  <c:v>Opinión de estudiantes</c:v>
                </c:pt>
              </c:strCache>
            </c:strRef>
          </c:cat>
          <c:val>
            <c:numRef>
              <c:f>Dashboard!$V$15:$V$24</c:f>
              <c:numCache>
                <c:formatCode>0;;;</c:formatCode>
                <c:ptCount val="10"/>
                <c:pt idx="0">
                  <c:v>0</c:v>
                </c:pt>
                <c:pt idx="1">
                  <c:v>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94</c:v>
                </c:pt>
                <c:pt idx="8">
                  <c:v>85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Dashboard!W14</c:f>
              <c:strCache>
                <c:ptCount val="1"/>
                <c:pt idx="0">
                  <c:v>Amarillo</c:v>
                </c:pt>
              </c:strCache>
            </c:strRef>
          </c:tx>
          <c:spPr>
            <a:solidFill>
              <a:srgbClr val="e8a317"/>
            </a:solidFill>
            <a:ln w="9360">
              <a:solidFill>
                <a:srgbClr val="e8a317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Dashboard!$U$15:$U$24</c:f>
              <c:strCache>
                <c:ptCount val="10"/>
                <c:pt idx="0">
                  <c:v>Planeó a tiempo</c:v>
                </c:pt>
                <c:pt idx="1">
                  <c:v>Cumplió las semanas</c:v>
                </c:pt>
                <c:pt idx="2">
                  <c:v>Enseñó los DBA</c:v>
                </c:pt>
                <c:pt idx="3">
                  <c:v>Calidad del planeador</c:v>
                </c:pt>
                <c:pt idx="4">
                  <c:v>Cuadernos</c:v>
                </c:pt>
                <c:pt idx="5">
                  <c:v>Clase observada</c:v>
                </c:pt>
                <c:pt idx="6">
                  <c:v>Lo que aprendieron</c:v>
                </c:pt>
                <c:pt idx="7">
                  <c:v>Inclusión (PIAR)</c:v>
                </c:pt>
                <c:pt idx="8">
                  <c:v>Proyectos transversales</c:v>
                </c:pt>
                <c:pt idx="9">
                  <c:v>Opinión de estudiantes</c:v>
                </c:pt>
              </c:strCache>
            </c:strRef>
          </c:cat>
          <c:val>
            <c:numRef>
              <c:f>Dashboard!$W$15:$W$24</c:f>
              <c:numCache>
                <c:formatCode>0;;;</c:formatCode>
                <c:ptCount val="10"/>
                <c:pt idx="0">
                  <c:v>83</c:v>
                </c:pt>
                <c:pt idx="1">
                  <c:v>0</c:v>
                </c:pt>
                <c:pt idx="2">
                  <c:v>84</c:v>
                </c:pt>
                <c:pt idx="3">
                  <c:v>73</c:v>
                </c:pt>
                <c:pt idx="4">
                  <c:v>74</c:v>
                </c:pt>
                <c:pt idx="5">
                  <c:v>73</c:v>
                </c:pt>
                <c:pt idx="6">
                  <c:v>71</c:v>
                </c:pt>
                <c:pt idx="7">
                  <c:v>0</c:v>
                </c:pt>
                <c:pt idx="8">
                  <c:v>0</c:v>
                </c:pt>
                <c:pt idx="9">
                  <c:v>81</c:v>
                </c:pt>
              </c:numCache>
            </c:numRef>
          </c:val>
        </c:ser>
        <c:ser>
          <c:idx val="2"/>
          <c:order val="2"/>
          <c:tx>
            <c:strRef>
              <c:f>Dashboard!X14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d2463a"/>
            </a:solidFill>
            <a:ln w="9360">
              <a:solidFill>
                <a:srgbClr val="d2463a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Dashboard!$U$15:$U$24</c:f>
              <c:strCache>
                <c:ptCount val="10"/>
                <c:pt idx="0">
                  <c:v>Planeó a tiempo</c:v>
                </c:pt>
                <c:pt idx="1">
                  <c:v>Cumplió las semanas</c:v>
                </c:pt>
                <c:pt idx="2">
                  <c:v>Enseñó los DBA</c:v>
                </c:pt>
                <c:pt idx="3">
                  <c:v>Calidad del planeador</c:v>
                </c:pt>
                <c:pt idx="4">
                  <c:v>Cuadernos</c:v>
                </c:pt>
                <c:pt idx="5">
                  <c:v>Clase observada</c:v>
                </c:pt>
                <c:pt idx="6">
                  <c:v>Lo que aprendieron</c:v>
                </c:pt>
                <c:pt idx="7">
                  <c:v>Inclusión (PIAR)</c:v>
                </c:pt>
                <c:pt idx="8">
                  <c:v>Proyectos transversales</c:v>
                </c:pt>
                <c:pt idx="9">
                  <c:v>Opinión de estudiantes</c:v>
                </c:pt>
              </c:strCache>
            </c:strRef>
          </c:cat>
          <c:val>
            <c:numRef>
              <c:f>Dashboard!$X$15:$X$24</c:f>
              <c:numCache>
                <c:formatCode>0;;;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40"/>
        <c:overlap val="100"/>
        <c:axId val="50035962"/>
        <c:axId val="91000880"/>
      </c:barChart>
      <c:catAx>
        <c:axId val="500359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00880"/>
        <c:crosses val="autoZero"/>
        <c:auto val="1"/>
        <c:lblAlgn val="ctr"/>
        <c:lblOffset val="100"/>
        <c:noMultiLvlLbl val="0"/>
      </c:catAx>
      <c:valAx>
        <c:axId val="91000880"/>
        <c:scaling>
          <c:orientation val="minMax"/>
          <c:max val="100"/>
          <c:min val="0"/>
        </c:scaling>
        <c:delete val="1"/>
        <c:axPos val="l"/>
        <c:numFmt formatCode="0;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5962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Dashboard!V27</c:f>
              <c:strCache>
                <c:ptCount val="1"/>
                <c:pt idx="0">
                  <c:v>Nota del colegio</c:v>
                </c:pt>
              </c:strCache>
            </c:strRef>
          </c:tx>
          <c:spPr>
            <a:solidFill>
              <a:srgbClr val="1b2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Dashboard!$U$28:$U$32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Dashboard!$V$28:$V$32</c:f>
              <c:numCache>
                <c:formatCode>0;;;</c:formatCode>
                <c:ptCount val="5"/>
                <c:pt idx="0">
                  <c:v>78</c:v>
                </c:pt>
                <c:pt idx="1">
                  <c:v>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38945731"/>
        <c:axId val="24586967"/>
      </c:barChart>
      <c:catAx>
        <c:axId val="389457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86967"/>
        <c:crosses val="autoZero"/>
        <c:auto val="1"/>
        <c:lblAlgn val="ctr"/>
        <c:lblOffset val="100"/>
        <c:noMultiLvlLbl val="0"/>
      </c:catAx>
      <c:valAx>
        <c:axId val="24586967"/>
        <c:scaling>
          <c:orientation val="minMax"/>
          <c:max val="100"/>
          <c:min val="0"/>
        </c:scaling>
        <c:delete val="1"/>
        <c:axPos val="l"/>
        <c:numFmt formatCode="0;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4573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131400</xdr:rowOff>
    </xdr:from>
    <xdr:to>
      <xdr:col>8</xdr:col>
      <xdr:colOff>692280</xdr:colOff>
      <xdr:row>40</xdr:row>
      <xdr:rowOff>111600</xdr:rowOff>
    </xdr:to>
    <xdr:graphicFrame>
      <xdr:nvGraphicFramePr>
        <xdr:cNvPr id="0" name="Chart 1"/>
        <xdr:cNvGraphicFramePr/>
      </xdr:nvGraphicFramePr>
      <xdr:xfrm>
        <a:off x="141120" y="494352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45</xdr:row>
      <xdr:rowOff>102240</xdr:rowOff>
    </xdr:from>
    <xdr:to>
      <xdr:col>5</xdr:col>
      <xdr:colOff>138600</xdr:colOff>
      <xdr:row>60</xdr:row>
      <xdr:rowOff>124560</xdr:rowOff>
    </xdr:to>
    <xdr:graphicFrame>
      <xdr:nvGraphicFramePr>
        <xdr:cNvPr id="1" name="Chart 2"/>
        <xdr:cNvGraphicFramePr/>
      </xdr:nvGraphicFramePr>
      <xdr:xfrm>
        <a:off x="141120" y="9515520"/>
        <a:ext cx="32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87480</xdr:rowOff>
    </xdr:from>
    <xdr:to>
      <xdr:col>8</xdr:col>
      <xdr:colOff>692280</xdr:colOff>
      <xdr:row>81</xdr:row>
      <xdr:rowOff>88920</xdr:rowOff>
    </xdr:to>
    <xdr:graphicFrame>
      <xdr:nvGraphicFramePr>
        <xdr:cNvPr id="2" name="Chart 3"/>
        <xdr:cNvGraphicFramePr/>
      </xdr:nvGraphicFramePr>
      <xdr:xfrm>
        <a:off x="141120" y="131349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86</xdr:row>
      <xdr:rowOff>73080</xdr:rowOff>
    </xdr:from>
    <xdr:to>
      <xdr:col>8</xdr:col>
      <xdr:colOff>692280</xdr:colOff>
      <xdr:row>101</xdr:row>
      <xdr:rowOff>95400</xdr:rowOff>
    </xdr:to>
    <xdr:graphicFrame>
      <xdr:nvGraphicFramePr>
        <xdr:cNvPr id="3" name="Chart 4"/>
        <xdr:cNvGraphicFramePr/>
      </xdr:nvGraphicFramePr>
      <xdr:xfrm>
        <a:off x="141120" y="173260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"/>
    <col collapsed="false" customWidth="true" hidden="false" outlineLevel="0" max="15" min="14" style="0" width="3"/>
    <col collapsed="false" customWidth="true" hidden="false" outlineLevel="0" max="16" min="16" style="0" width="30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0" min="19" style="0" width="10"/>
    <col collapsed="false" customWidth="true" hidden="false" outlineLevel="0" max="21" min="21" style="0" width="12"/>
    <col collapsed="false" customWidth="true" hidden="false" outlineLevel="0" max="25" min="22" style="0" width="10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7.35" hidden="false" customHeight="false" outlineLevel="0" collapsed="false">
      <c r="B4" s="3" t="s">
        <v>2</v>
      </c>
      <c r="C4" s="3"/>
      <c r="D4" s="3"/>
      <c r="E4" s="4" t="n">
        <v>2027</v>
      </c>
      <c r="G4" s="3" t="s">
        <v>3</v>
      </c>
      <c r="H4" s="3"/>
      <c r="I4" s="3"/>
      <c r="J4" s="3"/>
      <c r="K4" s="4" t="n">
        <v>0</v>
      </c>
      <c r="L4" s="5" t="s">
        <v>4</v>
      </c>
      <c r="M4" s="5"/>
    </row>
    <row r="6" customFormat="false" ht="15" hidden="false" customHeight="true" outlineLevel="0" collapsed="false">
      <c r="B6" s="6" t="s">
        <v>5</v>
      </c>
      <c r="C6" s="6"/>
      <c r="D6" s="6"/>
      <c r="E6" s="6"/>
      <c r="F6" s="7" t="str">
        <f aca="false">IF(NOT(ISNUMBER(Tablero!B6)),"Todavía no hay datos suficientes para este año. Registre evidencias en la hoja Registro.",IF(Tablero!B6&gt;=85,"VERDE. El colegio cumple muy bien lo que planeó. Hay que mantenerlo y compartir lo que funciona.",IF(Tablero!B6&gt;=70,"AMARILLO. El colegio cumple, pero le falta. Revise abajo qué es lo que más hay que mejorar.","ROJO. Lo planeado no se está cumpliendo. Se necesita un plan de mejora inmediato.")))</f>
        <v>AMARILLO. El colegio cumple, pero le falta. Revise abajo qué es lo que más hay que mejorar.</v>
      </c>
      <c r="G6" s="7"/>
      <c r="H6" s="7"/>
      <c r="I6" s="7"/>
      <c r="J6" s="7"/>
      <c r="K6" s="7"/>
      <c r="L6" s="7"/>
      <c r="M6" s="7"/>
      <c r="P6" s="8" t="s">
        <v>6</v>
      </c>
    </row>
    <row r="7" customFormat="false" ht="21.75" hidden="false" customHeight="true" outlineLevel="0" collapsed="false">
      <c r="B7" s="9" t="n">
        <f aca="false">IF(ISNUMBER(Tablero!B6),ROUND(Tablero!B6,0),"Sin datos")</f>
        <v>78</v>
      </c>
      <c r="C7" s="9"/>
      <c r="D7" s="9"/>
      <c r="E7" s="9"/>
      <c r="F7" s="7"/>
      <c r="G7" s="7"/>
      <c r="H7" s="7"/>
      <c r="I7" s="7"/>
      <c r="J7" s="7"/>
      <c r="K7" s="7"/>
      <c r="L7" s="7"/>
      <c r="M7" s="7"/>
      <c r="P7" s="10" t="s">
        <v>7</v>
      </c>
      <c r="Q7" s="10" t="s">
        <v>8</v>
      </c>
      <c r="R7" s="10" t="s">
        <v>9</v>
      </c>
      <c r="S7" s="10" t="s">
        <v>10</v>
      </c>
      <c r="U7" s="10" t="s">
        <v>11</v>
      </c>
      <c r="V7" s="10" t="s">
        <v>12</v>
      </c>
    </row>
    <row r="8" customFormat="false" ht="21.75" hidden="false" customHeight="true" outlineLevel="0" collapsed="false">
      <c r="B8" s="9"/>
      <c r="C8" s="9"/>
      <c r="D8" s="9"/>
      <c r="E8" s="9"/>
      <c r="F8" s="7"/>
      <c r="G8" s="7"/>
      <c r="H8" s="7"/>
      <c r="I8" s="7"/>
      <c r="J8" s="7"/>
      <c r="K8" s="7"/>
      <c r="L8" s="7"/>
      <c r="M8" s="7"/>
      <c r="P8" s="11" t="str">
        <f aca="false">IF(Tablero!A26="","",SUBSTITUTE(Tablero!A26,"EJEMPLO ",""))</f>
        <v>Docente A</v>
      </c>
      <c r="Q8" s="12" t="n">
        <f aca="false">IF(Tablero!C26="Verde",ROUND(Tablero!B26,0),0)</f>
        <v>94</v>
      </c>
      <c r="R8" s="12" t="n">
        <f aca="false">IF(Tablero!C26="Amarillo",ROUND(Tablero!B26,0),0)</f>
        <v>0</v>
      </c>
      <c r="S8" s="12" t="n">
        <f aca="false">IF(Tablero!C26="Rojo",ROUND(Tablero!B26,0),0)</f>
        <v>0</v>
      </c>
      <c r="U8" s="13" t="s">
        <v>8</v>
      </c>
      <c r="V8" s="13" t="n">
        <f aca="false">B15</f>
        <v>3</v>
      </c>
    </row>
    <row r="9" customFormat="false" ht="21.75" hidden="false" customHeight="true" outlineLevel="0" collapsed="false">
      <c r="B9" s="9"/>
      <c r="C9" s="9"/>
      <c r="D9" s="9"/>
      <c r="E9" s="9"/>
      <c r="F9" s="7"/>
      <c r="G9" s="7"/>
      <c r="H9" s="7"/>
      <c r="I9" s="7"/>
      <c r="J9" s="7"/>
      <c r="K9" s="7"/>
      <c r="L9" s="7"/>
      <c r="M9" s="7"/>
      <c r="P9" s="11" t="str">
        <f aca="false">IF(Tablero!A27="","",SUBSTITUTE(Tablero!A27,"EJEMPLO ",""))</f>
        <v>Docente B</v>
      </c>
      <c r="Q9" s="12" t="n">
        <f aca="false">IF(Tablero!C27="Verde",ROUND(Tablero!B27,0),0)</f>
        <v>0</v>
      </c>
      <c r="R9" s="12" t="n">
        <f aca="false">IF(Tablero!C27="Amarillo",ROUND(Tablero!B27,0),0)</f>
        <v>83</v>
      </c>
      <c r="S9" s="12" t="n">
        <f aca="false">IF(Tablero!C27="Rojo",ROUND(Tablero!B27,0),0)</f>
        <v>0</v>
      </c>
      <c r="U9" s="13" t="s">
        <v>9</v>
      </c>
      <c r="V9" s="13" t="n">
        <f aca="false">E15</f>
        <v>3</v>
      </c>
    </row>
    <row r="10" customFormat="false" ht="21.75" hidden="false" customHeight="true" outlineLevel="0" collapsed="false">
      <c r="B10" s="9"/>
      <c r="C10" s="9"/>
      <c r="D10" s="9"/>
      <c r="E10" s="9"/>
      <c r="F10" s="7"/>
      <c r="G10" s="7"/>
      <c r="H10" s="7"/>
      <c r="I10" s="7"/>
      <c r="J10" s="7"/>
      <c r="K10" s="7"/>
      <c r="L10" s="7"/>
      <c r="M10" s="7"/>
      <c r="P10" s="11" t="str">
        <f aca="false">IF(Tablero!A28="","",SUBSTITUTE(Tablero!A28,"EJEMPLO ",""))</f>
        <v>Docente C</v>
      </c>
      <c r="Q10" s="12" t="n">
        <f aca="false">IF(Tablero!C28="Verde",ROUND(Tablero!B28,0),0)</f>
        <v>0</v>
      </c>
      <c r="R10" s="12" t="n">
        <f aca="false">IF(Tablero!C28="Amarillo",ROUND(Tablero!B28,0),0)</f>
        <v>0</v>
      </c>
      <c r="S10" s="12" t="n">
        <f aca="false">IF(Tablero!C28="Rojo",ROUND(Tablero!B28,0),0)</f>
        <v>69</v>
      </c>
      <c r="U10" s="13" t="s">
        <v>10</v>
      </c>
      <c r="V10" s="13" t="n">
        <f aca="false">H15</f>
        <v>2</v>
      </c>
    </row>
    <row r="11" customFormat="false" ht="21.75" hidden="false" customHeight="true" outlineLevel="0" collapsed="false">
      <c r="B11" s="9"/>
      <c r="C11" s="9"/>
      <c r="D11" s="9"/>
      <c r="E11" s="9"/>
      <c r="F11" s="7"/>
      <c r="G11" s="7"/>
      <c r="H11" s="7"/>
      <c r="I11" s="7"/>
      <c r="J11" s="7"/>
      <c r="K11" s="7"/>
      <c r="L11" s="7"/>
      <c r="M11" s="7"/>
      <c r="P11" s="11" t="str">
        <f aca="false">IF(Tablero!A29="","",SUBSTITUTE(Tablero!A29,"EJEMPLO ",""))</f>
        <v>Docente D</v>
      </c>
      <c r="Q11" s="12" t="n">
        <f aca="false">IF(Tablero!C29="Verde",ROUND(Tablero!B29,0),0)</f>
        <v>91</v>
      </c>
      <c r="R11" s="12" t="n">
        <f aca="false">IF(Tablero!C29="Amarillo",ROUND(Tablero!B29,0),0)</f>
        <v>0</v>
      </c>
      <c r="S11" s="12" t="n">
        <f aca="false">IF(Tablero!C29="Rojo",ROUND(Tablero!B29,0),0)</f>
        <v>0</v>
      </c>
      <c r="U11" s="13" t="s">
        <v>13</v>
      </c>
      <c r="V11" s="13" t="n">
        <f aca="false">K15</f>
        <v>0</v>
      </c>
    </row>
    <row r="12" customFormat="false" ht="15" hidden="false" customHeight="false" outlineLevel="0" collapsed="false">
      <c r="P12" s="11" t="str">
        <f aca="false">IF(Tablero!A30="","",SUBSTITUTE(Tablero!A30,"EJEMPLO ",""))</f>
        <v>Docente E</v>
      </c>
      <c r="Q12" s="12" t="n">
        <f aca="false">IF(Tablero!C30="Verde",ROUND(Tablero!B30,0),0)</f>
        <v>0</v>
      </c>
      <c r="R12" s="12" t="n">
        <f aca="false">IF(Tablero!C30="Amarillo",ROUND(Tablero!B30,0),0)</f>
        <v>72</v>
      </c>
      <c r="S12" s="12" t="n">
        <f aca="false">IF(Tablero!C30="Rojo",ROUND(Tablero!B30,0),0)</f>
        <v>0</v>
      </c>
    </row>
    <row r="13" customFormat="false" ht="16.15" hidden="false" customHeight="true" outlineLevel="0" collapsed="false">
      <c r="B13" s="14" t="s">
        <v>14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P13" s="11" t="str">
        <f aca="false">IF(Tablero!A31="","",SUBSTITUTE(Tablero!A31,"EJEMPLO ",""))</f>
        <v>Docente F</v>
      </c>
      <c r="Q13" s="12" t="n">
        <f aca="false">IF(Tablero!C31="Verde",ROUND(Tablero!B31,0),0)</f>
        <v>0</v>
      </c>
      <c r="R13" s="12" t="n">
        <f aca="false">IF(Tablero!C31="Amarillo",ROUND(Tablero!B31,0),0)</f>
        <v>0</v>
      </c>
      <c r="S13" s="12" t="n">
        <f aca="false">IF(Tablero!C31="Rojo",ROUND(Tablero!B31,0),0)</f>
        <v>52</v>
      </c>
    </row>
    <row r="14" customFormat="false" ht="15" hidden="false" customHeight="true" outlineLevel="0" collapsed="false">
      <c r="B14" s="15" t="s">
        <v>15</v>
      </c>
      <c r="C14" s="15"/>
      <c r="D14" s="15"/>
      <c r="E14" s="16" t="s">
        <v>16</v>
      </c>
      <c r="F14" s="16"/>
      <c r="G14" s="16"/>
      <c r="H14" s="17" t="s">
        <v>17</v>
      </c>
      <c r="I14" s="17"/>
      <c r="J14" s="17"/>
      <c r="K14" s="18" t="s">
        <v>18</v>
      </c>
      <c r="L14" s="18"/>
      <c r="M14" s="18"/>
      <c r="P14" s="11" t="str">
        <f aca="false">IF(Tablero!A32="","",SUBSTITUTE(Tablero!A32,"EJEMPLO ",""))</f>
        <v>Docente G</v>
      </c>
      <c r="Q14" s="12" t="n">
        <f aca="false">IF(Tablero!C32="Verde",ROUND(Tablero!B32,0),0)</f>
        <v>86</v>
      </c>
      <c r="R14" s="12" t="n">
        <f aca="false">IF(Tablero!C32="Amarillo",ROUND(Tablero!B32,0),0)</f>
        <v>0</v>
      </c>
      <c r="S14" s="12" t="n">
        <f aca="false">IF(Tablero!C32="Rojo",ROUND(Tablero!B32,0),0)</f>
        <v>0</v>
      </c>
      <c r="U14" s="10" t="s">
        <v>19</v>
      </c>
      <c r="V14" s="10" t="s">
        <v>8</v>
      </c>
      <c r="W14" s="10" t="s">
        <v>9</v>
      </c>
      <c r="X14" s="10" t="s">
        <v>10</v>
      </c>
      <c r="Y14" s="10" t="s">
        <v>20</v>
      </c>
    </row>
    <row r="15" customFormat="false" ht="15" hidden="false" customHeight="false" outlineLevel="0" collapsed="false">
      <c r="B15" s="19" t="n">
        <f aca="false">COUNTIF(Tablero!$C$26:$C$65,"Verde")</f>
        <v>3</v>
      </c>
      <c r="C15" s="19"/>
      <c r="D15" s="19"/>
      <c r="E15" s="20" t="n">
        <f aca="false">COUNTIF(Tablero!$C$26:$C$65,"Amarillo")</f>
        <v>3</v>
      </c>
      <c r="F15" s="20"/>
      <c r="G15" s="20"/>
      <c r="H15" s="21" t="n">
        <f aca="false">COUNTIF(Tablero!$C$26:$C$65,"Rojo")</f>
        <v>2</v>
      </c>
      <c r="I15" s="21"/>
      <c r="J15" s="21"/>
      <c r="K15" s="22" t="n">
        <f aca="false">COUNTIFS(Tablero!$A$26:$A$65,"&lt;&gt;",Tablero!$B$26:$B$65,"Sin datos")</f>
        <v>0</v>
      </c>
      <c r="L15" s="22"/>
      <c r="M15" s="22"/>
      <c r="P15" s="11" t="str">
        <f aca="false">IF(Tablero!A33="","",SUBSTITUTE(Tablero!A33,"EJEMPLO ",""))</f>
        <v>Docente H</v>
      </c>
      <c r="Q15" s="12" t="n">
        <f aca="false">IF(Tablero!C33="Verde",ROUND(Tablero!B33,0),0)</f>
        <v>0</v>
      </c>
      <c r="R15" s="12" t="n">
        <f aca="false">IF(Tablero!C33="Amarillo",ROUND(Tablero!B33,0),0)</f>
        <v>73</v>
      </c>
      <c r="S15" s="12" t="n">
        <f aca="false">IF(Tablero!C33="Rojo",ROUND(Tablero!B33,0),0)</f>
        <v>0</v>
      </c>
      <c r="U15" s="11" t="s">
        <v>21</v>
      </c>
      <c r="V15" s="12" t="n">
        <f aca="false">IF(AND(ISNUMBER(Y15),N(Y15)&gt;=85),Y15,0)</f>
        <v>0</v>
      </c>
      <c r="W15" s="12" t="n">
        <f aca="false">IF(AND(ISNUMBER(Y15),N(Y15)&gt;=70,N(Y15)&lt;85),Y15,0)</f>
        <v>83</v>
      </c>
      <c r="X15" s="12" t="n">
        <f aca="false">IF(AND(ISNUMBER(Y15),N(Y15)&lt;70),Y15,0)</f>
        <v>0</v>
      </c>
      <c r="Y15" s="11" t="n">
        <f aca="false">IF(ISNUMBER(Tablero!B13),ROUND(Tablero!B13,0),"")</f>
        <v>83</v>
      </c>
    </row>
    <row r="16" customFormat="false" ht="15" hidden="false" customHeight="false" outlineLevel="0" collapsed="false">
      <c r="B16" s="19"/>
      <c r="C16" s="19"/>
      <c r="D16" s="19"/>
      <c r="E16" s="20"/>
      <c r="F16" s="20"/>
      <c r="G16" s="20"/>
      <c r="H16" s="21"/>
      <c r="I16" s="21"/>
      <c r="J16" s="21"/>
      <c r="K16" s="22"/>
      <c r="L16" s="22"/>
      <c r="M16" s="22"/>
      <c r="P16" s="11" t="str">
        <f aca="false">IF(Tablero!A34="","",SUBSTITUTE(Tablero!A34,"EJEMPLO ",""))</f>
        <v/>
      </c>
      <c r="Q16" s="12" t="n">
        <f aca="false">IF(Tablero!C34="Verde",ROUND(Tablero!B34,0),0)</f>
        <v>0</v>
      </c>
      <c r="R16" s="12" t="n">
        <f aca="false">IF(Tablero!C34="Amarillo",ROUND(Tablero!B34,0),0)</f>
        <v>0</v>
      </c>
      <c r="S16" s="12" t="n">
        <f aca="false">IF(Tablero!C34="Rojo",ROUND(Tablero!B34,0),0)</f>
        <v>0</v>
      </c>
      <c r="U16" s="11" t="s">
        <v>22</v>
      </c>
      <c r="V16" s="12" t="n">
        <f aca="false">IF(AND(ISNUMBER(Y16),N(Y16)&gt;=85),Y16,0)</f>
        <v>88</v>
      </c>
      <c r="W16" s="12" t="n">
        <f aca="false">IF(AND(ISNUMBER(Y16),N(Y16)&gt;=70,N(Y16)&lt;85),Y16,0)</f>
        <v>0</v>
      </c>
      <c r="X16" s="12" t="n">
        <f aca="false">IF(AND(ISNUMBER(Y16),N(Y16)&lt;70),Y16,0)</f>
        <v>0</v>
      </c>
      <c r="Y16" s="11" t="n">
        <f aca="false">IF(ISNUMBER(Tablero!B14),ROUND(Tablero!B14,0),"")</f>
        <v>88</v>
      </c>
    </row>
    <row r="17" customFormat="false" ht="15" hidden="false" customHeight="false" outlineLevel="0" collapsed="false">
      <c r="B17" s="19"/>
      <c r="C17" s="19"/>
      <c r="D17" s="19"/>
      <c r="E17" s="20"/>
      <c r="F17" s="20"/>
      <c r="G17" s="20"/>
      <c r="H17" s="21"/>
      <c r="I17" s="21"/>
      <c r="J17" s="21"/>
      <c r="K17" s="22"/>
      <c r="L17" s="22"/>
      <c r="M17" s="22"/>
      <c r="P17" s="11" t="str">
        <f aca="false">IF(Tablero!A35="","",SUBSTITUTE(Tablero!A35,"EJEMPLO ",""))</f>
        <v/>
      </c>
      <c r="Q17" s="12" t="n">
        <f aca="false">IF(Tablero!C35="Verde",ROUND(Tablero!B35,0),0)</f>
        <v>0</v>
      </c>
      <c r="R17" s="12" t="n">
        <f aca="false">IF(Tablero!C35="Amarillo",ROUND(Tablero!B35,0),0)</f>
        <v>0</v>
      </c>
      <c r="S17" s="12" t="n">
        <f aca="false">IF(Tablero!C35="Rojo",ROUND(Tablero!B35,0),0)</f>
        <v>0</v>
      </c>
      <c r="U17" s="11" t="s">
        <v>23</v>
      </c>
      <c r="V17" s="12" t="n">
        <f aca="false">IF(AND(ISNUMBER(Y17),N(Y17)&gt;=85),Y17,0)</f>
        <v>0</v>
      </c>
      <c r="W17" s="12" t="n">
        <f aca="false">IF(AND(ISNUMBER(Y17),N(Y17)&gt;=70,N(Y17)&lt;85),Y17,0)</f>
        <v>84</v>
      </c>
      <c r="X17" s="12" t="n">
        <f aca="false">IF(AND(ISNUMBER(Y17),N(Y17)&lt;70),Y17,0)</f>
        <v>0</v>
      </c>
      <c r="Y17" s="11" t="n">
        <f aca="false">IF(ISNUMBER(Tablero!B15),ROUND(Tablero!B15,0),"")</f>
        <v>84</v>
      </c>
    </row>
    <row r="18" customFormat="false" ht="15" hidden="false" customHeight="true" outlineLevel="0" collapsed="false">
      <c r="B18" s="23" t="s">
        <v>24</v>
      </c>
      <c r="C18" s="23"/>
      <c r="D18" s="23"/>
      <c r="E18" s="24" t="s">
        <v>25</v>
      </c>
      <c r="F18" s="24"/>
      <c r="G18" s="24"/>
      <c r="H18" s="25" t="s">
        <v>26</v>
      </c>
      <c r="I18" s="25"/>
      <c r="J18" s="25"/>
      <c r="K18" s="26" t="s">
        <v>27</v>
      </c>
      <c r="L18" s="26"/>
      <c r="M18" s="26"/>
      <c r="P18" s="11" t="str">
        <f aca="false">IF(Tablero!A36="","",SUBSTITUTE(Tablero!A36,"EJEMPLO ",""))</f>
        <v/>
      </c>
      <c r="Q18" s="12" t="n">
        <f aca="false">IF(Tablero!C36="Verde",ROUND(Tablero!B36,0),0)</f>
        <v>0</v>
      </c>
      <c r="R18" s="12" t="n">
        <f aca="false">IF(Tablero!C36="Amarillo",ROUND(Tablero!B36,0),0)</f>
        <v>0</v>
      </c>
      <c r="S18" s="12" t="n">
        <f aca="false">IF(Tablero!C36="Rojo",ROUND(Tablero!B36,0),0)</f>
        <v>0</v>
      </c>
      <c r="U18" s="11" t="s">
        <v>28</v>
      </c>
      <c r="V18" s="12" t="n">
        <f aca="false">IF(AND(ISNUMBER(Y18),N(Y18)&gt;=85),Y18,0)</f>
        <v>0</v>
      </c>
      <c r="W18" s="12" t="n">
        <f aca="false">IF(AND(ISNUMBER(Y18),N(Y18)&gt;=70,N(Y18)&lt;85),Y18,0)</f>
        <v>73</v>
      </c>
      <c r="X18" s="12" t="n">
        <f aca="false">IF(AND(ISNUMBER(Y18),N(Y18)&lt;70),Y18,0)</f>
        <v>0</v>
      </c>
      <c r="Y18" s="11" t="n">
        <f aca="false">IF(ISNUMBER(Tablero!B16),ROUND(Tablero!B16,0),"")</f>
        <v>73</v>
      </c>
    </row>
    <row r="19" customFormat="false" ht="21.75" hidden="false" customHeight="true" outlineLevel="0" collapsed="false">
      <c r="B19" s="27" t="str">
        <f aca="false">IFERROR("De cada 10 docentes, "&amp;ROUND(10*COUNTIF(Tablero!$C$26:$C$65,"Verde")/COUNTA(Tablero!$A$26:$A$65),0)&amp;" están en verde y "&amp;ROUND(10*COUNTIF(Tablero!$C$26:$C$65,"Rojo")/COUNTA(Tablero!$A$26:$A$65),0)&amp;" están en rojo.","")</f>
        <v>De cada 10 docentes, 4 están en verde y 3 están en rojo.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P19" s="11" t="str">
        <f aca="false">IF(Tablero!A37="","",SUBSTITUTE(Tablero!A37,"EJEMPLO ",""))</f>
        <v/>
      </c>
      <c r="Q19" s="12" t="n">
        <f aca="false">IF(Tablero!C37="Verde",ROUND(Tablero!B37,0),0)</f>
        <v>0</v>
      </c>
      <c r="R19" s="12" t="n">
        <f aca="false">IF(Tablero!C37="Amarillo",ROUND(Tablero!B37,0),0)</f>
        <v>0</v>
      </c>
      <c r="S19" s="12" t="n">
        <f aca="false">IF(Tablero!C37="Rojo",ROUND(Tablero!B37,0),0)</f>
        <v>0</v>
      </c>
      <c r="U19" s="11" t="s">
        <v>29</v>
      </c>
      <c r="V19" s="12" t="n">
        <f aca="false">IF(AND(ISNUMBER(Y19),N(Y19)&gt;=85),Y19,0)</f>
        <v>0</v>
      </c>
      <c r="W19" s="12" t="n">
        <f aca="false">IF(AND(ISNUMBER(Y19),N(Y19)&gt;=70,N(Y19)&lt;85),Y19,0)</f>
        <v>74</v>
      </c>
      <c r="X19" s="12" t="n">
        <f aca="false">IF(AND(ISNUMBER(Y19),N(Y19)&lt;70),Y19,0)</f>
        <v>0</v>
      </c>
      <c r="Y19" s="11" t="n">
        <f aca="false">IF(ISNUMBER(Tablero!B17),ROUND(Tablero!B17,0),"")</f>
        <v>74</v>
      </c>
    </row>
    <row r="20" customFormat="false" ht="15" hidden="false" customHeight="false" outlineLevel="0" collapsed="false">
      <c r="P20" s="11" t="str">
        <f aca="false">IF(Tablero!A38="","",SUBSTITUTE(Tablero!A38,"EJEMPLO ",""))</f>
        <v/>
      </c>
      <c r="Q20" s="12" t="n">
        <f aca="false">IF(Tablero!C38="Verde",ROUND(Tablero!B38,0),0)</f>
        <v>0</v>
      </c>
      <c r="R20" s="12" t="n">
        <f aca="false">IF(Tablero!C38="Amarillo",ROUND(Tablero!B38,0),0)</f>
        <v>0</v>
      </c>
      <c r="S20" s="12" t="n">
        <f aca="false">IF(Tablero!C38="Rojo",ROUND(Tablero!B38,0),0)</f>
        <v>0</v>
      </c>
      <c r="U20" s="11" t="s">
        <v>30</v>
      </c>
      <c r="V20" s="12" t="n">
        <f aca="false">IF(AND(ISNUMBER(Y20),N(Y20)&gt;=85),Y20,0)</f>
        <v>0</v>
      </c>
      <c r="W20" s="12" t="n">
        <f aca="false">IF(AND(ISNUMBER(Y20),N(Y20)&gt;=70,N(Y20)&lt;85),Y20,0)</f>
        <v>73</v>
      </c>
      <c r="X20" s="12" t="n">
        <f aca="false">IF(AND(ISNUMBER(Y20),N(Y20)&lt;70),Y20,0)</f>
        <v>0</v>
      </c>
      <c r="Y20" s="11" t="n">
        <f aca="false">IF(ISNUMBER(Tablero!B18),ROUND(Tablero!B18,0),"")</f>
        <v>73</v>
      </c>
    </row>
    <row r="21" customFormat="false" ht="16.15" hidden="false" customHeight="true" outlineLevel="0" collapsed="false">
      <c r="B21" s="14" t="s">
        <v>31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P21" s="11" t="str">
        <f aca="false">IF(Tablero!A39="","",SUBSTITUTE(Tablero!A39,"EJEMPLO ",""))</f>
        <v/>
      </c>
      <c r="Q21" s="12" t="n">
        <f aca="false">IF(Tablero!C39="Verde",ROUND(Tablero!B39,0),0)</f>
        <v>0</v>
      </c>
      <c r="R21" s="12" t="n">
        <f aca="false">IF(Tablero!C39="Amarillo",ROUND(Tablero!B39,0),0)</f>
        <v>0</v>
      </c>
      <c r="S21" s="12" t="n">
        <f aca="false">IF(Tablero!C39="Rojo",ROUND(Tablero!B39,0),0)</f>
        <v>0</v>
      </c>
      <c r="U21" s="11" t="s">
        <v>32</v>
      </c>
      <c r="V21" s="12" t="n">
        <f aca="false">IF(AND(ISNUMBER(Y21),N(Y21)&gt;=85),Y21,0)</f>
        <v>0</v>
      </c>
      <c r="W21" s="12" t="n">
        <f aca="false">IF(AND(ISNUMBER(Y21),N(Y21)&gt;=70,N(Y21)&lt;85),Y21,0)</f>
        <v>71</v>
      </c>
      <c r="X21" s="12" t="n">
        <f aca="false">IF(AND(ISNUMBER(Y21),N(Y21)&lt;70),Y21,0)</f>
        <v>0</v>
      </c>
      <c r="Y21" s="11" t="n">
        <f aca="false">IF(ISNUMBER(Tablero!B19),ROUND(Tablero!B19,0),"")</f>
        <v>71</v>
      </c>
    </row>
    <row r="22" customFormat="false" ht="15" hidden="false" customHeight="false" outlineLevel="0" collapsed="false">
      <c r="P22" s="11" t="str">
        <f aca="false">IF(Tablero!A40="","",SUBSTITUTE(Tablero!A40,"EJEMPLO ",""))</f>
        <v/>
      </c>
      <c r="Q22" s="12" t="n">
        <f aca="false">IF(Tablero!C40="Verde",ROUND(Tablero!B40,0),0)</f>
        <v>0</v>
      </c>
      <c r="R22" s="12" t="n">
        <f aca="false">IF(Tablero!C40="Amarillo",ROUND(Tablero!B40,0),0)</f>
        <v>0</v>
      </c>
      <c r="S22" s="12" t="n">
        <f aca="false">IF(Tablero!C40="Rojo",ROUND(Tablero!B40,0),0)</f>
        <v>0</v>
      </c>
      <c r="U22" s="11" t="s">
        <v>33</v>
      </c>
      <c r="V22" s="12" t="n">
        <f aca="false">IF(AND(ISNUMBER(Y22),N(Y22)&gt;=85),Y22,0)</f>
        <v>94</v>
      </c>
      <c r="W22" s="12" t="n">
        <f aca="false">IF(AND(ISNUMBER(Y22),N(Y22)&gt;=70,N(Y22)&lt;85),Y22,0)</f>
        <v>0</v>
      </c>
      <c r="X22" s="12" t="n">
        <f aca="false">IF(AND(ISNUMBER(Y22),N(Y22)&lt;70),Y22,0)</f>
        <v>0</v>
      </c>
      <c r="Y22" s="11" t="n">
        <f aca="false">IF(ISNUMBER(Tablero!B20),ROUND(Tablero!B20,0),"")</f>
        <v>94</v>
      </c>
    </row>
    <row r="23" customFormat="false" ht="15" hidden="false" customHeight="false" outlineLevel="0" collapsed="false">
      <c r="P23" s="11" t="str">
        <f aca="false">IF(Tablero!A41="","",SUBSTITUTE(Tablero!A41,"EJEMPLO ",""))</f>
        <v/>
      </c>
      <c r="Q23" s="12" t="n">
        <f aca="false">IF(Tablero!C41="Verde",ROUND(Tablero!B41,0),0)</f>
        <v>0</v>
      </c>
      <c r="R23" s="12" t="n">
        <f aca="false">IF(Tablero!C41="Amarillo",ROUND(Tablero!B41,0),0)</f>
        <v>0</v>
      </c>
      <c r="S23" s="12" t="n">
        <f aca="false">IF(Tablero!C41="Rojo",ROUND(Tablero!B41,0),0)</f>
        <v>0</v>
      </c>
      <c r="U23" s="11" t="s">
        <v>34</v>
      </c>
      <c r="V23" s="12" t="n">
        <f aca="false">IF(AND(ISNUMBER(Y23),N(Y23)&gt;=85),Y23,0)</f>
        <v>85</v>
      </c>
      <c r="W23" s="12" t="n">
        <f aca="false">IF(AND(ISNUMBER(Y23),N(Y23)&gt;=70,N(Y23)&lt;85),Y23,0)</f>
        <v>0</v>
      </c>
      <c r="X23" s="12" t="n">
        <f aca="false">IF(AND(ISNUMBER(Y23),N(Y23)&lt;70),Y23,0)</f>
        <v>0</v>
      </c>
      <c r="Y23" s="11" t="n">
        <f aca="false">IF(ISNUMBER(Tablero!B21),ROUND(Tablero!B21,0),"")</f>
        <v>85</v>
      </c>
    </row>
    <row r="24" customFormat="false" ht="15" hidden="false" customHeight="false" outlineLevel="0" collapsed="false">
      <c r="P24" s="11" t="str">
        <f aca="false">IF(Tablero!A42="","",SUBSTITUTE(Tablero!A42,"EJEMPLO ",""))</f>
        <v/>
      </c>
      <c r="Q24" s="12" t="n">
        <f aca="false">IF(Tablero!C42="Verde",ROUND(Tablero!B42,0),0)</f>
        <v>0</v>
      </c>
      <c r="R24" s="12" t="n">
        <f aca="false">IF(Tablero!C42="Amarillo",ROUND(Tablero!B42,0),0)</f>
        <v>0</v>
      </c>
      <c r="S24" s="12" t="n">
        <f aca="false">IF(Tablero!C42="Rojo",ROUND(Tablero!B42,0),0)</f>
        <v>0</v>
      </c>
      <c r="U24" s="11" t="s">
        <v>35</v>
      </c>
      <c r="V24" s="12" t="n">
        <f aca="false">IF(AND(ISNUMBER(Y24),N(Y24)&gt;=85),Y24,0)</f>
        <v>0</v>
      </c>
      <c r="W24" s="12" t="n">
        <f aca="false">IF(AND(ISNUMBER(Y24),N(Y24)&gt;=70,N(Y24)&lt;85),Y24,0)</f>
        <v>81</v>
      </c>
      <c r="X24" s="12" t="n">
        <f aca="false">IF(AND(ISNUMBER(Y24),N(Y24)&lt;70),Y24,0)</f>
        <v>0</v>
      </c>
      <c r="Y24" s="11" t="n">
        <f aca="false">IF(ISNUMBER(Tablero!B22),ROUND(Tablero!B22,0),"")</f>
        <v>81</v>
      </c>
    </row>
    <row r="25" customFormat="false" ht="15" hidden="false" customHeight="false" outlineLevel="0" collapsed="false">
      <c r="P25" s="11" t="str">
        <f aca="false">IF(Tablero!A43="","",SUBSTITUTE(Tablero!A43,"EJEMPLO ",""))</f>
        <v/>
      </c>
      <c r="Q25" s="12" t="n">
        <f aca="false">IF(Tablero!C43="Verde",ROUND(Tablero!B43,0),0)</f>
        <v>0</v>
      </c>
      <c r="R25" s="12" t="n">
        <f aca="false">IF(Tablero!C43="Amarillo",ROUND(Tablero!B43,0),0)</f>
        <v>0</v>
      </c>
      <c r="S25" s="12" t="n">
        <f aca="false">IF(Tablero!C43="Rojo",ROUND(Tablero!B43,0),0)</f>
        <v>0</v>
      </c>
    </row>
    <row r="26" customFormat="false" ht="15" hidden="false" customHeight="false" outlineLevel="0" collapsed="false">
      <c r="P26" s="11" t="str">
        <f aca="false">IF(Tablero!A44="","",SUBSTITUTE(Tablero!A44,"EJEMPLO ",""))</f>
        <v/>
      </c>
      <c r="Q26" s="12" t="n">
        <f aca="false">IF(Tablero!C44="Verde",ROUND(Tablero!B44,0),0)</f>
        <v>0</v>
      </c>
      <c r="R26" s="12" t="n">
        <f aca="false">IF(Tablero!C44="Amarillo",ROUND(Tablero!B44,0),0)</f>
        <v>0</v>
      </c>
      <c r="S26" s="12" t="n">
        <f aca="false">IF(Tablero!C44="Rojo",ROUND(Tablero!B44,0),0)</f>
        <v>0</v>
      </c>
    </row>
    <row r="27" customFormat="false" ht="15" hidden="false" customHeight="false" outlineLevel="0" collapsed="false">
      <c r="P27" s="11" t="str">
        <f aca="false">IF(Tablero!A45="","",SUBSTITUTE(Tablero!A45,"EJEMPLO ",""))</f>
        <v/>
      </c>
      <c r="Q27" s="12" t="n">
        <f aca="false">IF(Tablero!C45="Verde",ROUND(Tablero!B45,0),0)</f>
        <v>0</v>
      </c>
      <c r="R27" s="12" t="n">
        <f aca="false">IF(Tablero!C45="Amarillo",ROUND(Tablero!B45,0),0)</f>
        <v>0</v>
      </c>
      <c r="S27" s="12" t="n">
        <f aca="false">IF(Tablero!C45="Rojo",ROUND(Tablero!B45,0),0)</f>
        <v>0</v>
      </c>
      <c r="U27" s="10" t="s">
        <v>36</v>
      </c>
      <c r="V27" s="10" t="s">
        <v>37</v>
      </c>
    </row>
    <row r="28" customFormat="false" ht="15" hidden="false" customHeight="false" outlineLevel="0" collapsed="false">
      <c r="P28" s="11" t="str">
        <f aca="false">IF(Tablero!A46="","",SUBSTITUTE(Tablero!A46,"EJEMPLO ",""))</f>
        <v/>
      </c>
      <c r="Q28" s="12" t="n">
        <f aca="false">IF(Tablero!C46="Verde",ROUND(Tablero!B46,0),0)</f>
        <v>0</v>
      </c>
      <c r="R28" s="12" t="n">
        <f aca="false">IF(Tablero!C46="Amarillo",ROUND(Tablero!B46,0),0)</f>
        <v>0</v>
      </c>
      <c r="S28" s="12" t="n">
        <f aca="false">IF(Tablero!C46="Rojo",ROUND(Tablero!B46,0),0)</f>
        <v>0</v>
      </c>
      <c r="U28" s="0" t="str">
        <f aca="false">'Año vs año'!B4</f>
        <v>2027</v>
      </c>
      <c r="V28" s="28" t="n">
        <f aca="false">IF(ISNUMBER('Año vs año'!B5),ROUND('Año vs año'!B5,0),0)</f>
        <v>78</v>
      </c>
    </row>
    <row r="29" customFormat="false" ht="15" hidden="false" customHeight="false" outlineLevel="0" collapsed="false">
      <c r="P29" s="11" t="str">
        <f aca="false">IF(Tablero!A47="","",SUBSTITUTE(Tablero!A47,"EJEMPLO ",""))</f>
        <v/>
      </c>
      <c r="Q29" s="12" t="n">
        <f aca="false">IF(Tablero!C47="Verde",ROUND(Tablero!B47,0),0)</f>
        <v>0</v>
      </c>
      <c r="R29" s="12" t="n">
        <f aca="false">IF(Tablero!C47="Amarillo",ROUND(Tablero!B47,0),0)</f>
        <v>0</v>
      </c>
      <c r="S29" s="12" t="n">
        <f aca="false">IF(Tablero!C47="Rojo",ROUND(Tablero!B47,0),0)</f>
        <v>0</v>
      </c>
      <c r="U29" s="0" t="str">
        <f aca="false">'Año vs año'!C4</f>
        <v>2028</v>
      </c>
      <c r="V29" s="28" t="n">
        <f aca="false">IF(ISNUMBER('Año vs año'!C5),ROUND('Año vs año'!C5,0),0)</f>
        <v>83</v>
      </c>
    </row>
    <row r="30" customFormat="false" ht="15" hidden="false" customHeight="false" outlineLevel="0" collapsed="false">
      <c r="P30" s="11" t="str">
        <f aca="false">IF(Tablero!A48="","",SUBSTITUTE(Tablero!A48,"EJEMPLO ",""))</f>
        <v/>
      </c>
      <c r="Q30" s="12" t="n">
        <f aca="false">IF(Tablero!C48="Verde",ROUND(Tablero!B48,0),0)</f>
        <v>0</v>
      </c>
      <c r="R30" s="12" t="n">
        <f aca="false">IF(Tablero!C48="Amarillo",ROUND(Tablero!B48,0),0)</f>
        <v>0</v>
      </c>
      <c r="S30" s="12" t="n">
        <f aca="false">IF(Tablero!C48="Rojo",ROUND(Tablero!B48,0),0)</f>
        <v>0</v>
      </c>
      <c r="U30" s="0" t="str">
        <f aca="false">'Año vs año'!D4</f>
        <v>2029</v>
      </c>
      <c r="V30" s="28" t="n">
        <f aca="false">IF(ISNUMBER('Año vs año'!D5),ROUND('Año vs año'!D5,0),0)</f>
        <v>0</v>
      </c>
    </row>
    <row r="31" customFormat="false" ht="15" hidden="false" customHeight="false" outlineLevel="0" collapsed="false">
      <c r="P31" s="11" t="str">
        <f aca="false">IF(Tablero!A49="","",SUBSTITUTE(Tablero!A49,"EJEMPLO ",""))</f>
        <v/>
      </c>
      <c r="Q31" s="12" t="n">
        <f aca="false">IF(Tablero!C49="Verde",ROUND(Tablero!B49,0),0)</f>
        <v>0</v>
      </c>
      <c r="R31" s="12" t="n">
        <f aca="false">IF(Tablero!C49="Amarillo",ROUND(Tablero!B49,0),0)</f>
        <v>0</v>
      </c>
      <c r="S31" s="12" t="n">
        <f aca="false">IF(Tablero!C49="Rojo",ROUND(Tablero!B49,0),0)</f>
        <v>0</v>
      </c>
      <c r="U31" s="0" t="str">
        <f aca="false">'Año vs año'!E4</f>
        <v>2030</v>
      </c>
      <c r="V31" s="28" t="n">
        <f aca="false">IF(ISNUMBER('Año vs año'!E5),ROUND('Año vs año'!E5,0),0)</f>
        <v>0</v>
      </c>
    </row>
    <row r="32" customFormat="false" ht="15" hidden="false" customHeight="false" outlineLevel="0" collapsed="false">
      <c r="P32" s="11" t="str">
        <f aca="false">IF(Tablero!A50="","",SUBSTITUTE(Tablero!A50,"EJEMPLO ",""))</f>
        <v/>
      </c>
      <c r="Q32" s="12" t="n">
        <f aca="false">IF(Tablero!C50="Verde",ROUND(Tablero!B50,0),0)</f>
        <v>0</v>
      </c>
      <c r="R32" s="12" t="n">
        <f aca="false">IF(Tablero!C50="Amarillo",ROUND(Tablero!B50,0),0)</f>
        <v>0</v>
      </c>
      <c r="S32" s="12" t="n">
        <f aca="false">IF(Tablero!C50="Rojo",ROUND(Tablero!B50,0),0)</f>
        <v>0</v>
      </c>
      <c r="U32" s="0" t="str">
        <f aca="false">'Año vs año'!F4</f>
        <v>2031</v>
      </c>
      <c r="V32" s="28" t="n">
        <f aca="false">IF(ISNUMBER('Año vs año'!F5),ROUND('Año vs año'!F5,0),0)</f>
        <v>0</v>
      </c>
    </row>
    <row r="33" customFormat="false" ht="15" hidden="false" customHeight="false" outlineLevel="0" collapsed="false">
      <c r="P33" s="11" t="str">
        <f aca="false">IF(Tablero!A51="","",SUBSTITUTE(Tablero!A51,"EJEMPLO ",""))</f>
        <v/>
      </c>
      <c r="Q33" s="12" t="n">
        <f aca="false">IF(Tablero!C51="Verde",ROUND(Tablero!B51,0),0)</f>
        <v>0</v>
      </c>
      <c r="R33" s="12" t="n">
        <f aca="false">IF(Tablero!C51="Amarillo",ROUND(Tablero!B51,0),0)</f>
        <v>0</v>
      </c>
      <c r="S33" s="12" t="n">
        <f aca="false">IF(Tablero!C51="Rojo",ROUND(Tablero!B51,0),0)</f>
        <v>0</v>
      </c>
    </row>
    <row r="34" customFormat="false" ht="15" hidden="false" customHeight="false" outlineLevel="0" collapsed="false">
      <c r="P34" s="11" t="str">
        <f aca="false">IF(Tablero!A52="","",SUBSTITUTE(Tablero!A52,"EJEMPLO ",""))</f>
        <v/>
      </c>
      <c r="Q34" s="12" t="n">
        <f aca="false">IF(Tablero!C52="Verde",ROUND(Tablero!B52,0),0)</f>
        <v>0</v>
      </c>
      <c r="R34" s="12" t="n">
        <f aca="false">IF(Tablero!C52="Amarillo",ROUND(Tablero!B52,0),0)</f>
        <v>0</v>
      </c>
      <c r="S34" s="12" t="n">
        <f aca="false">IF(Tablero!C52="Rojo",ROUND(Tablero!B52,0),0)</f>
        <v>0</v>
      </c>
    </row>
    <row r="35" customFormat="false" ht="15" hidden="false" customHeight="false" outlineLevel="0" collapsed="false">
      <c r="P35" s="11" t="str">
        <f aca="false">IF(Tablero!A53="","",SUBSTITUTE(Tablero!A53,"EJEMPLO ",""))</f>
        <v/>
      </c>
      <c r="Q35" s="12" t="n">
        <f aca="false">IF(Tablero!C53="Verde",ROUND(Tablero!B53,0),0)</f>
        <v>0</v>
      </c>
      <c r="R35" s="12" t="n">
        <f aca="false">IF(Tablero!C53="Amarillo",ROUND(Tablero!B53,0),0)</f>
        <v>0</v>
      </c>
      <c r="S35" s="12" t="n">
        <f aca="false">IF(Tablero!C53="Rojo",ROUND(Tablero!B53,0),0)</f>
        <v>0</v>
      </c>
    </row>
    <row r="36" customFormat="false" ht="15" hidden="false" customHeight="false" outlineLevel="0" collapsed="false">
      <c r="P36" s="11" t="str">
        <f aca="false">IF(Tablero!A54="","",SUBSTITUTE(Tablero!A54,"EJEMPLO ",""))</f>
        <v/>
      </c>
      <c r="Q36" s="12" t="n">
        <f aca="false">IF(Tablero!C54="Verde",ROUND(Tablero!B54,0),0)</f>
        <v>0</v>
      </c>
      <c r="R36" s="12" t="n">
        <f aca="false">IF(Tablero!C54="Amarillo",ROUND(Tablero!B54,0),0)</f>
        <v>0</v>
      </c>
      <c r="S36" s="12" t="n">
        <f aca="false">IF(Tablero!C54="Rojo",ROUND(Tablero!B54,0),0)</f>
        <v>0</v>
      </c>
    </row>
    <row r="37" customFormat="false" ht="15" hidden="false" customHeight="false" outlineLevel="0" collapsed="false">
      <c r="P37" s="11" t="str">
        <f aca="false">IF(Tablero!A55="","",SUBSTITUTE(Tablero!A55,"EJEMPLO ",""))</f>
        <v/>
      </c>
      <c r="Q37" s="12" t="n">
        <f aca="false">IF(Tablero!C55="Verde",ROUND(Tablero!B55,0),0)</f>
        <v>0</v>
      </c>
      <c r="R37" s="12" t="n">
        <f aca="false">IF(Tablero!C55="Amarillo",ROUND(Tablero!B55,0),0)</f>
        <v>0</v>
      </c>
      <c r="S37" s="12" t="n">
        <f aca="false">IF(Tablero!C55="Rojo",ROUND(Tablero!B55,0),0)</f>
        <v>0</v>
      </c>
    </row>
    <row r="43" customFormat="false" ht="15" hidden="false" customHeight="false" outlineLevel="0" collapsed="false">
      <c r="B43" s="29" t="str">
        <f aca="false">IF(COUNTA(Tablero!A26:A65)&gt;12,"Hay más de 12 docentes: el gráfico muestra los 12 primeros. La lista completa está en la hoja Tablero.","El gráfico muestra hasta 12 docentes; la lista completa está en la hoja Tablero.")</f>
        <v>El gráfico muestra hasta 12 docentes; la lista completa está en la hoja Tablero.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customFormat="false" ht="16.15" hidden="false" customHeight="true" outlineLevel="0" collapsed="false">
      <c r="H44" s="14" t="s">
        <v>38</v>
      </c>
      <c r="I44" s="14"/>
      <c r="J44" s="14"/>
      <c r="K44" s="14"/>
      <c r="L44" s="14"/>
      <c r="M44" s="14"/>
    </row>
    <row r="45" customFormat="false" ht="16.15" hidden="false" customHeight="true" outlineLevel="0" collapsed="false">
      <c r="B45" s="14" t="s">
        <v>39</v>
      </c>
      <c r="C45" s="14"/>
      <c r="D45" s="14"/>
      <c r="E45" s="14"/>
      <c r="F45" s="14"/>
      <c r="H45" s="30" t="str">
        <f aca="false">IFERROR("Lo que mejor hacemos: "&amp;INDEX(Dashboard!$U$15:$U$24,MATCH(MAX(Dashboard!$Y$15:$Y$24),Dashboard!$Y$15:$Y$24,0))&amp;" ("&amp;MAX(Dashboard!$Y$15:$Y$24)&amp;" de 100)","Sin datos")</f>
        <v>Lo que mejor hacemos: Inclusión (PIAR) (94 de 100)</v>
      </c>
      <c r="I45" s="30"/>
      <c r="J45" s="30"/>
      <c r="K45" s="30"/>
      <c r="L45" s="30"/>
      <c r="M45" s="30"/>
    </row>
    <row r="46" customFormat="false" ht="15" hidden="false" customHeight="false" outlineLevel="0" collapsed="false">
      <c r="H46" s="30"/>
      <c r="I46" s="30"/>
      <c r="J46" s="30"/>
      <c r="K46" s="30"/>
      <c r="L46" s="30"/>
      <c r="M46" s="30"/>
    </row>
    <row r="47" customFormat="false" ht="15" hidden="false" customHeight="false" outlineLevel="0" collapsed="false">
      <c r="H47" s="31" t="str">
        <f aca="false">IFERROR("Lo que más debemos mejorar: "&amp;INDEX(Dashboard!$U$15:$U$24,MATCH(MIN(Dashboard!$Y$15:$Y$24),Dashboard!$Y$15:$Y$24,0))&amp;" ("&amp;MIN(Dashboard!$Y$15:$Y$24)&amp;" de 100)","Sin datos")</f>
        <v>Lo que más debemos mejorar: Lo que aprendieron (71 de 100)</v>
      </c>
      <c r="I47" s="31"/>
      <c r="J47" s="31"/>
      <c r="K47" s="31"/>
      <c r="L47" s="31"/>
      <c r="M47" s="31"/>
    </row>
    <row r="48" customFormat="false" ht="15" hidden="false" customHeight="false" outlineLevel="0" collapsed="false">
      <c r="H48" s="31"/>
      <c r="I48" s="31"/>
      <c r="J48" s="31"/>
      <c r="K48" s="31"/>
      <c r="L48" s="31"/>
      <c r="M48" s="31"/>
    </row>
    <row r="49" customFormat="false" ht="15" hidden="false" customHeight="false" outlineLevel="0" collapsed="false">
      <c r="H49" s="32" t="str">
        <f aca="false">IFERROR("Componentes por debajo de 70: "&amp;COUNTIF(Dashboard!$Y$15:$Y$24,"&lt;70")&amp;" de "&amp;COUNT(Dashboard!$Y$15:$Y$24),"")</f>
        <v>Componentes por debajo de 70: 0 de 10</v>
      </c>
      <c r="I49" s="32"/>
      <c r="J49" s="32"/>
      <c r="K49" s="32"/>
      <c r="L49" s="32"/>
      <c r="M49" s="32"/>
    </row>
    <row r="50" customFormat="false" ht="15" hidden="false" customHeight="false" outlineLevel="0" collapsed="false">
      <c r="H50" s="32"/>
      <c r="I50" s="32"/>
      <c r="J50" s="32"/>
      <c r="K50" s="32"/>
      <c r="L50" s="32"/>
      <c r="M50" s="32"/>
    </row>
    <row r="51" customFormat="false" ht="15" hidden="false" customHeight="true" outlineLevel="0" collapsed="false">
      <c r="H51" s="33" t="s">
        <v>40</v>
      </c>
      <c r="I51" s="33"/>
      <c r="J51" s="33"/>
      <c r="K51" s="33"/>
      <c r="L51" s="33"/>
      <c r="M51" s="33"/>
    </row>
    <row r="52" customFormat="false" ht="15" hidden="false" customHeight="false" outlineLevel="0" collapsed="false">
      <c r="H52" s="33"/>
      <c r="I52" s="33"/>
      <c r="J52" s="33"/>
      <c r="K52" s="33"/>
      <c r="L52" s="33"/>
      <c r="M52" s="33"/>
    </row>
    <row r="53" customFormat="false" ht="15" hidden="false" customHeight="false" outlineLevel="0" collapsed="false">
      <c r="H53" s="33"/>
      <c r="I53" s="33"/>
      <c r="J53" s="33"/>
      <c r="K53" s="33"/>
      <c r="L53" s="33"/>
      <c r="M53" s="33"/>
    </row>
    <row r="64" customFormat="false" ht="16.15" hidden="false" customHeight="true" outlineLevel="0" collapsed="false">
      <c r="B64" s="14" t="s">
        <v>41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86" customFormat="false" ht="16.15" hidden="false" customHeight="true" outlineLevel="0" collapsed="false">
      <c r="B86" s="14" t="s">
        <v>42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104" customFormat="false" ht="15" hidden="false" customHeight="false" outlineLevel="0" collapsed="false">
      <c r="B104" s="34" t="str">
        <f aca="false">IF('Año vs año'!H5="—","Cuando haya dos años con datos, aquí verá si el colegio mejoró, se mantuvo o retrocedió.","Comparado con el año anterior, el colegio "&amp;IF('Año vs año'!G5&gt;=5,"MEJORÓ",IF('Año vs año'!G5&lt;=-5,"RETROCEDIÓ","SE MANTUVO IGUAL"))&amp;" ("&amp;TEXT('Año vs año'!G5,"+0;-0;0")&amp;" puntos).")</f>
        <v>Comparado con el año anterior, el colegio MEJORÓ (+5 puntos).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customFormat="false" ht="15" hidden="false" customHeight="false" outlineLevel="0" collapsed="false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7" customFormat="false" ht="16.15" hidden="false" customHeight="true" outlineLevel="0" collapsed="false">
      <c r="B107" s="14" t="s">
        <v>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customFormat="false" ht="30" hidden="false" customHeight="true" outlineLevel="0" collapsed="false">
      <c r="B108" s="35" t="s">
        <v>44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</row>
    <row r="109" customFormat="false" ht="30" hidden="false" customHeight="true" outlineLevel="0" collapsed="false">
      <c r="B109" s="35" t="s">
        <v>45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</row>
    <row r="110" customFormat="false" ht="30" hidden="false" customHeight="true" outlineLevel="0" collapsed="false">
      <c r="B110" s="35" t="s">
        <v>46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</row>
    <row r="111" customFormat="false" ht="30" hidden="false" customHeight="true" outlineLevel="0" collapsed="false">
      <c r="B111" s="35" t="s">
        <v>47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</row>
    <row r="112" customFormat="false" ht="30" hidden="false" customHeight="true" outlineLevel="0" collapsed="false">
      <c r="B112" s="35" t="s">
        <v>48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</sheetData>
  <mergeCells count="39">
    <mergeCell ref="B1:M1"/>
    <mergeCell ref="B2:M2"/>
    <mergeCell ref="B4:D4"/>
    <mergeCell ref="G4:J4"/>
    <mergeCell ref="L4:M4"/>
    <mergeCell ref="B6:E6"/>
    <mergeCell ref="F6:M11"/>
    <mergeCell ref="B7:E11"/>
    <mergeCell ref="B13:M13"/>
    <mergeCell ref="B14:D14"/>
    <mergeCell ref="E14:G14"/>
    <mergeCell ref="H14:J14"/>
    <mergeCell ref="K14:M14"/>
    <mergeCell ref="B15:D17"/>
    <mergeCell ref="E15:G17"/>
    <mergeCell ref="H15:J17"/>
    <mergeCell ref="K15:M17"/>
    <mergeCell ref="B18:D18"/>
    <mergeCell ref="E18:G18"/>
    <mergeCell ref="H18:J18"/>
    <mergeCell ref="K18:M18"/>
    <mergeCell ref="B19:M19"/>
    <mergeCell ref="B21:M21"/>
    <mergeCell ref="B43:M43"/>
    <mergeCell ref="H44:M44"/>
    <mergeCell ref="B45:F45"/>
    <mergeCell ref="H45:M46"/>
    <mergeCell ref="H47:M48"/>
    <mergeCell ref="H49:M50"/>
    <mergeCell ref="H51:M53"/>
    <mergeCell ref="B64:M64"/>
    <mergeCell ref="B86:M86"/>
    <mergeCell ref="B104:M105"/>
    <mergeCell ref="B107:M107"/>
    <mergeCell ref="B108:M108"/>
    <mergeCell ref="B109:M109"/>
    <mergeCell ref="B110:M110"/>
    <mergeCell ref="B111:M111"/>
    <mergeCell ref="B112:M112"/>
  </mergeCells>
  <conditionalFormatting sqref="F6:M11">
    <cfRule type="expression" priority="2" aboveAverage="0" equalAverage="0" bottom="0" percent="0" rank="0" text="" dxfId="0">
      <formula>LEFT($F$6,5)="VERDE"</formula>
    </cfRule>
    <cfRule type="expression" priority="3" aboveAverage="0" equalAverage="0" bottom="0" percent="0" rank="0" text="" dxfId="1">
      <formula>LEFT($F$6,8)="AMARILLO"</formula>
    </cfRule>
    <cfRule type="expression" priority="4" aboveAverage="0" equalAverage="0" bottom="0" percent="0" rank="0" text="" dxfId="2">
      <formula>LEFT($F$6,4)="ROJO"</formula>
    </cfRule>
  </conditionalFormatting>
  <conditionalFormatting sqref="B7:E11">
    <cfRule type="expression" priority="5" aboveAverage="0" equalAverage="0" bottom="0" percent="0" rank="0" text="" dxfId="0">
      <formula>LEFT($F$6,5)="VERDE"</formula>
    </cfRule>
    <cfRule type="expression" priority="6" aboveAverage="0" equalAverage="0" bottom="0" percent="0" rank="0" text="" dxfId="1">
      <formula>LEFT($F$6,8)="AMARILLO"</formula>
    </cfRule>
    <cfRule type="expression" priority="7" aboveAverage="0" equalAverage="0" bottom="0" percent="0" rank="0" text="" dxfId="2">
      <formula>LEFT($F$6,4)="ROJO"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2.8" hidden="false" customHeight="false" outlineLevel="0" collapsed="false">
      <c r="A1" s="36" t="s">
        <v>49</v>
      </c>
    </row>
    <row r="2" customFormat="false" ht="23.85" hidden="false" customHeight="false" outlineLevel="0" collapsed="false">
      <c r="A2" s="37" t="s">
        <v>50</v>
      </c>
    </row>
    <row r="3" customFormat="false" ht="15" hidden="false" customHeight="false" outlineLevel="0" collapsed="false">
      <c r="A3" s="37"/>
    </row>
    <row r="4" customFormat="false" ht="15" hidden="false" customHeight="false" outlineLevel="0" collapsed="false">
      <c r="A4" s="38" t="s">
        <v>51</v>
      </c>
    </row>
    <row r="5" customFormat="false" ht="15" hidden="false" customHeight="false" outlineLevel="0" collapsed="false">
      <c r="A5" s="37" t="s">
        <v>52</v>
      </c>
    </row>
    <row r="6" customFormat="false" ht="23.85" hidden="false" customHeight="false" outlineLevel="0" collapsed="false">
      <c r="A6" s="37" t="s">
        <v>53</v>
      </c>
    </row>
    <row r="7" customFormat="false" ht="23.85" hidden="false" customHeight="false" outlineLevel="0" collapsed="false">
      <c r="A7" s="37" t="s">
        <v>54</v>
      </c>
    </row>
    <row r="8" customFormat="false" ht="15" hidden="false" customHeight="false" outlineLevel="0" collapsed="false">
      <c r="A8" s="37" t="s">
        <v>55</v>
      </c>
    </row>
    <row r="9" customFormat="false" ht="15" hidden="false" customHeight="false" outlineLevel="0" collapsed="false">
      <c r="A9" s="37" t="s">
        <v>56</v>
      </c>
    </row>
    <row r="10" customFormat="false" ht="15" hidden="false" customHeight="false" outlineLevel="0" collapsed="false">
      <c r="A10" s="37"/>
    </row>
    <row r="11" customFormat="false" ht="15" hidden="false" customHeight="false" outlineLevel="0" collapsed="false">
      <c r="A11" s="38" t="s">
        <v>57</v>
      </c>
    </row>
    <row r="12" customFormat="false" ht="15" hidden="false" customHeight="false" outlineLevel="0" collapsed="false">
      <c r="A12" s="37" t="s">
        <v>58</v>
      </c>
    </row>
    <row r="13" customFormat="false" ht="15" hidden="false" customHeight="false" outlineLevel="0" collapsed="false">
      <c r="A13" s="37" t="s">
        <v>59</v>
      </c>
    </row>
    <row r="14" customFormat="false" ht="15" hidden="false" customHeight="false" outlineLevel="0" collapsed="false">
      <c r="A14" s="37" t="s">
        <v>60</v>
      </c>
    </row>
    <row r="15" customFormat="false" ht="15" hidden="false" customHeight="false" outlineLevel="0" collapsed="false">
      <c r="A15" s="37" t="s">
        <v>61</v>
      </c>
    </row>
    <row r="16" customFormat="false" ht="15" hidden="false" customHeight="false" outlineLevel="0" collapsed="false">
      <c r="A16" s="37" t="s">
        <v>62</v>
      </c>
    </row>
    <row r="17" customFormat="false" ht="15" hidden="false" customHeight="false" outlineLevel="0" collapsed="false">
      <c r="A17" s="37" t="s">
        <v>63</v>
      </c>
    </row>
    <row r="18" customFormat="false" ht="23.85" hidden="false" customHeight="false" outlineLevel="0" collapsed="false">
      <c r="A18" s="37" t="s">
        <v>64</v>
      </c>
    </row>
    <row r="19" customFormat="false" ht="15" hidden="false" customHeight="false" outlineLevel="0" collapsed="false">
      <c r="A19" s="37"/>
    </row>
    <row r="20" customFormat="false" ht="23.85" hidden="false" customHeight="false" outlineLevel="0" collapsed="false">
      <c r="A20" s="3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54" hidden="false" customHeight="true" outlineLevel="0" collapsed="false">
      <c r="A1" s="40" t="s">
        <v>66</v>
      </c>
      <c r="B1" s="40" t="s">
        <v>20</v>
      </c>
      <c r="C1" s="40" t="s">
        <v>67</v>
      </c>
    </row>
    <row r="2" customFormat="false" ht="15" hidden="false" customHeight="false" outlineLevel="0" collapsed="false">
      <c r="A2" s="41" t="s">
        <v>68</v>
      </c>
      <c r="B2" s="42" t="n">
        <v>0.05</v>
      </c>
      <c r="C2" s="41" t="s">
        <v>69</v>
      </c>
    </row>
    <row r="3" customFormat="false" ht="15" hidden="false" customHeight="false" outlineLevel="0" collapsed="false">
      <c r="A3" s="41" t="s">
        <v>70</v>
      </c>
      <c r="B3" s="42" t="n">
        <v>0.1</v>
      </c>
      <c r="C3" s="41" t="s">
        <v>71</v>
      </c>
    </row>
    <row r="4" customFormat="false" ht="15" hidden="false" customHeight="false" outlineLevel="0" collapsed="false">
      <c r="A4" s="41" t="s">
        <v>72</v>
      </c>
      <c r="B4" s="42" t="n">
        <v>0.1</v>
      </c>
      <c r="C4" s="41" t="s">
        <v>73</v>
      </c>
    </row>
    <row r="5" customFormat="false" ht="15" hidden="false" customHeight="false" outlineLevel="0" collapsed="false">
      <c r="A5" s="41" t="s">
        <v>74</v>
      </c>
      <c r="B5" s="42" t="n">
        <v>0.1</v>
      </c>
      <c r="C5" s="41" t="s">
        <v>75</v>
      </c>
    </row>
    <row r="6" customFormat="false" ht="15" hidden="false" customHeight="false" outlineLevel="0" collapsed="false">
      <c r="A6" s="41" t="s">
        <v>76</v>
      </c>
      <c r="B6" s="42" t="n">
        <v>0.1</v>
      </c>
      <c r="C6" s="41" t="s">
        <v>77</v>
      </c>
    </row>
    <row r="7" customFormat="false" ht="15" hidden="false" customHeight="false" outlineLevel="0" collapsed="false">
      <c r="A7" s="41" t="s">
        <v>78</v>
      </c>
      <c r="B7" s="42" t="n">
        <v>0.2</v>
      </c>
      <c r="C7" s="41" t="s">
        <v>79</v>
      </c>
    </row>
    <row r="8" customFormat="false" ht="15" hidden="false" customHeight="false" outlineLevel="0" collapsed="false">
      <c r="A8" s="41" t="s">
        <v>80</v>
      </c>
      <c r="B8" s="42" t="n">
        <v>0.15</v>
      </c>
      <c r="C8" s="41" t="s">
        <v>81</v>
      </c>
    </row>
    <row r="9" customFormat="false" ht="15" hidden="false" customHeight="false" outlineLevel="0" collapsed="false">
      <c r="A9" s="41" t="s">
        <v>82</v>
      </c>
      <c r="B9" s="42" t="n">
        <v>0.1</v>
      </c>
      <c r="C9" s="41" t="s">
        <v>83</v>
      </c>
    </row>
    <row r="10" customFormat="false" ht="15" hidden="false" customHeight="false" outlineLevel="0" collapsed="false">
      <c r="A10" s="41" t="s">
        <v>84</v>
      </c>
      <c r="B10" s="42" t="n">
        <v>0.05</v>
      </c>
      <c r="C10" s="41" t="s">
        <v>85</v>
      </c>
    </row>
    <row r="11" customFormat="false" ht="15" hidden="false" customHeight="false" outlineLevel="0" collapsed="false">
      <c r="A11" s="41" t="s">
        <v>86</v>
      </c>
      <c r="B11" s="42" t="n">
        <v>0.05</v>
      </c>
      <c r="C11" s="41" t="s">
        <v>87</v>
      </c>
    </row>
    <row r="12" customFormat="false" ht="15" hidden="false" customHeight="false" outlineLevel="0" collapsed="false">
      <c r="A12" s="43" t="s">
        <v>88</v>
      </c>
      <c r="B12" s="44" t="n">
        <f aca="false">SUM(B2:B11)</f>
        <v>1</v>
      </c>
      <c r="C12" s="45" t="s">
        <v>89</v>
      </c>
    </row>
    <row r="13" customFormat="false" ht="15" hidden="false" customHeight="false" outlineLevel="0" collapsed="false">
      <c r="A13" s="41" t="s">
        <v>90</v>
      </c>
      <c r="B13" s="46" t="n">
        <v>85</v>
      </c>
      <c r="C13" s="41" t="s">
        <v>91</v>
      </c>
    </row>
    <row r="14" customFormat="false" ht="15" hidden="false" customHeight="false" outlineLevel="0" collapsed="false">
      <c r="A14" s="41" t="s">
        <v>92</v>
      </c>
      <c r="B14" s="46" t="n">
        <v>70</v>
      </c>
      <c r="C14" s="41" t="s">
        <v>93</v>
      </c>
    </row>
    <row r="15" customFormat="false" ht="15" hidden="false" customHeight="false" outlineLevel="0" collapsed="false">
      <c r="A15" s="41" t="s">
        <v>94</v>
      </c>
      <c r="B15" s="46" t="n">
        <v>0.6</v>
      </c>
      <c r="C15" s="41" t="s">
        <v>95</v>
      </c>
    </row>
    <row r="16" customFormat="false" ht="15" hidden="false" customHeight="false" outlineLevel="0" collapsed="false">
      <c r="A16" s="41" t="s">
        <v>96</v>
      </c>
      <c r="B16" s="46" t="n">
        <v>10</v>
      </c>
      <c r="C16" s="41" t="s">
        <v>97</v>
      </c>
    </row>
    <row r="17" customFormat="false" ht="15" hidden="false" customHeight="false" outlineLevel="0" collapsed="false">
      <c r="A17" s="41" t="s">
        <v>98</v>
      </c>
      <c r="B17" s="46" t="n">
        <v>0.3</v>
      </c>
      <c r="C17" s="41" t="s">
        <v>99</v>
      </c>
    </row>
    <row r="18" customFormat="false" ht="15" hidden="false" customHeight="false" outlineLevel="0" collapsed="false">
      <c r="A18" s="41" t="s">
        <v>100</v>
      </c>
      <c r="B18" s="46" t="n">
        <v>3</v>
      </c>
      <c r="C18" s="41" t="s">
        <v>101</v>
      </c>
    </row>
    <row r="19" customFormat="false" ht="15" hidden="false" customHeight="false" outlineLevel="0" collapsed="false">
      <c r="A19" s="41" t="s">
        <v>102</v>
      </c>
      <c r="B19" s="46" t="s">
        <v>103</v>
      </c>
      <c r="C19" s="4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3" min="11" style="0" width="9"/>
    <col collapsed="false" customWidth="true" hidden="false" outlineLevel="0" max="20" min="14" style="0" width="10"/>
    <col collapsed="false" customWidth="true" hidden="false" outlineLevel="0" max="22" min="21" style="0" width="9"/>
    <col collapsed="false" customWidth="true" hidden="false" outlineLevel="0" max="23" min="23" style="0" width="8"/>
    <col collapsed="false" customWidth="true" hidden="false" outlineLevel="0" max="33" min="24" style="0" width="9"/>
    <col collapsed="false" customWidth="true" hidden="false" outlineLevel="0" max="34" min="34" style="0" width="8"/>
    <col collapsed="false" customWidth="true" hidden="false" outlineLevel="0" max="37" min="35" style="0" width="9"/>
    <col collapsed="false" customWidth="true" hidden="false" outlineLevel="0" max="38" min="38" style="0" width="20"/>
    <col collapsed="false" customWidth="true" hidden="false" outlineLevel="0" max="39" min="39" style="0" width="40"/>
  </cols>
  <sheetData>
    <row r="1" customFormat="false" ht="54" hidden="false" customHeight="true" outlineLevel="0" collapsed="false">
      <c r="A1" s="40" t="s">
        <v>36</v>
      </c>
      <c r="B1" s="40" t="s">
        <v>105</v>
      </c>
      <c r="C1" s="40" t="s">
        <v>7</v>
      </c>
      <c r="D1" s="40" t="s">
        <v>106</v>
      </c>
      <c r="E1" s="40" t="s">
        <v>107</v>
      </c>
      <c r="F1" s="40" t="s">
        <v>108</v>
      </c>
      <c r="G1" s="40" t="s">
        <v>109</v>
      </c>
      <c r="H1" s="40" t="s">
        <v>110</v>
      </c>
      <c r="I1" s="40" t="s">
        <v>111</v>
      </c>
      <c r="J1" s="40" t="s">
        <v>112</v>
      </c>
      <c r="K1" s="40" t="s">
        <v>113</v>
      </c>
      <c r="L1" s="40" t="s">
        <v>114</v>
      </c>
      <c r="M1" s="40" t="s">
        <v>115</v>
      </c>
      <c r="N1" s="40" t="s">
        <v>116</v>
      </c>
      <c r="O1" s="40" t="s">
        <v>117</v>
      </c>
      <c r="P1" s="40" t="s">
        <v>118</v>
      </c>
      <c r="Q1" s="40" t="s">
        <v>119</v>
      </c>
      <c r="R1" s="40" t="s">
        <v>120</v>
      </c>
      <c r="S1" s="40" t="s">
        <v>121</v>
      </c>
      <c r="T1" s="40" t="s">
        <v>122</v>
      </c>
      <c r="U1" s="40" t="s">
        <v>123</v>
      </c>
      <c r="V1" s="40" t="s">
        <v>124</v>
      </c>
      <c r="W1" s="40" t="s">
        <v>125</v>
      </c>
      <c r="X1" s="40" t="s">
        <v>126</v>
      </c>
      <c r="Y1" s="40" t="s">
        <v>127</v>
      </c>
      <c r="Z1" s="40" t="s">
        <v>128</v>
      </c>
      <c r="AA1" s="40" t="s">
        <v>129</v>
      </c>
      <c r="AB1" s="40" t="s">
        <v>130</v>
      </c>
      <c r="AC1" s="40" t="s">
        <v>131</v>
      </c>
      <c r="AD1" s="40" t="s">
        <v>132</v>
      </c>
      <c r="AE1" s="40" t="s">
        <v>133</v>
      </c>
      <c r="AF1" s="40" t="s">
        <v>134</v>
      </c>
      <c r="AG1" s="40" t="s">
        <v>135</v>
      </c>
      <c r="AH1" s="40" t="s">
        <v>136</v>
      </c>
      <c r="AI1" s="40" t="s">
        <v>137</v>
      </c>
      <c r="AJ1" s="40" t="s">
        <v>138</v>
      </c>
      <c r="AK1" s="40" t="s">
        <v>139</v>
      </c>
      <c r="AL1" s="40" t="s">
        <v>11</v>
      </c>
      <c r="AM1" s="40" t="s">
        <v>140</v>
      </c>
    </row>
    <row r="2" customFormat="false" ht="15" hidden="false" customHeight="false" outlineLevel="0" collapsed="false">
      <c r="A2" s="46" t="n">
        <v>2027</v>
      </c>
      <c r="B2" s="46" t="n">
        <v>1</v>
      </c>
      <c r="C2" s="46" t="s">
        <v>141</v>
      </c>
      <c r="D2" s="46" t="s">
        <v>142</v>
      </c>
      <c r="E2" s="46" t="n">
        <v>10</v>
      </c>
      <c r="F2" s="46" t="n">
        <v>10</v>
      </c>
      <c r="G2" s="46" t="n">
        <v>10</v>
      </c>
      <c r="H2" s="46" t="n">
        <v>10</v>
      </c>
      <c r="I2" s="46" t="n">
        <v>6</v>
      </c>
      <c r="J2" s="46" t="n">
        <v>6</v>
      </c>
      <c r="K2" s="46" t="n">
        <v>21</v>
      </c>
      <c r="L2" s="46" t="n">
        <v>2.7</v>
      </c>
      <c r="M2" s="46" t="n">
        <v>4.9</v>
      </c>
      <c r="N2" s="46" t="n">
        <v>0.82</v>
      </c>
      <c r="O2" s="46" t="n">
        <v>2</v>
      </c>
      <c r="P2" s="46" t="n">
        <v>0.46</v>
      </c>
      <c r="Q2" s="46" t="n">
        <v>29</v>
      </c>
      <c r="R2" s="46" t="n">
        <v>6</v>
      </c>
      <c r="S2" s="46" t="n">
        <v>6</v>
      </c>
      <c r="T2" s="46" t="n">
        <v>5</v>
      </c>
      <c r="U2" s="46" t="n">
        <v>1</v>
      </c>
      <c r="V2" s="46" t="n">
        <v>4.6</v>
      </c>
      <c r="W2" s="46" t="n">
        <v>20</v>
      </c>
      <c r="X2" s="47" t="n">
        <f aca="false">IF(N(E2)&gt;0,MIN(100,F2/E2*100),"")</f>
        <v>100</v>
      </c>
      <c r="Y2" s="47" t="n">
        <f aca="false">IF(N(G2)&gt;0,MIN(100,H2/G2*100),"")</f>
        <v>100</v>
      </c>
      <c r="Z2" s="47" t="n">
        <f aca="false">IF(N(I2)&gt;0,MIN(100,J2/I2*100),"")</f>
        <v>100</v>
      </c>
      <c r="AA2" s="47" t="n">
        <f aca="false">IF(K2="","",K2/24*100)</f>
        <v>87.5</v>
      </c>
      <c r="AB2" s="47" t="n">
        <f aca="false">IF(L2="","",L2/3*100)</f>
        <v>90</v>
      </c>
      <c r="AC2" s="47" t="n">
        <f aca="false">IF(OR(M2="",AND(N2&lt;&gt;"",N(N2)&lt;Parámetros!$B$15)),"",MAX(0,MIN(100,(M2-1)/4*100)))</f>
        <v>97.5</v>
      </c>
      <c r="AD2" s="47" t="n">
        <f aca="false">IF(OR(P2="",N(Q2)=0),"",MAX(0,MIN(100,((Q2/(Q2+Parámetros!$B$16))*P2+(Parámetros!$B$16/(Q2+Parámetros!$B$16))*Parámetros!$B$17-0.1)/0.4*100)))</f>
        <v>79.7435897435898</v>
      </c>
      <c r="AE2" s="47" t="n">
        <f aca="false">IF(N(R2)&gt;0,MIN(100,S2/R2*100),"")</f>
        <v>100</v>
      </c>
      <c r="AF2" s="47" t="n">
        <f aca="false">IF(N(U2)&gt;0,MIN(100,T2/(U2*5)*100),"")</f>
        <v>100</v>
      </c>
      <c r="AG2" s="47" t="n">
        <f aca="false">IF(OR(V2="",N(W2)&lt;10),"",(V2-1)/4*100)</f>
        <v>90</v>
      </c>
      <c r="AH2" s="47" t="n">
        <f aca="false">IF($C2="","",COUNT(X2:AG2))</f>
        <v>10</v>
      </c>
      <c r="AI2" s="47" t="n">
        <f aca="false">IF(OR($C2="",N(AH2)&lt;Parámetros!$B$18),"",(IF(ISNUMBER(X2),X2*Parámetros!$B$2,0)+IF(ISNUMBER(Y2),Y2*Parámetros!$B$3,0)+IF(ISNUMBER(Z2),Z2*Parámetros!$B$4,0)+IF(ISNUMBER(AA2),AA2*Parámetros!$B$5,0)+IF(ISNUMBER(AB2),AB2*Parámetros!$B$6,0)+IF(ISNUMBER(AC2),AC2*Parámetros!$B$7,0)+IF(ISNUMBER(AD2),AD2*Parámetros!$B$8,0)+IF(ISNUMBER(AE2),AE2*Parámetros!$B$9,0)+IF(ISNUMBER(AF2),AF2*Parámetros!$B$10,0)+IF(ISNUMBER(AG2),AG2*Parámetros!$B$11,0))/(IF(ISNUMBER(X2),Parámetros!$B$2,0)+IF(ISNUMBER(Y2),Parámetros!$B$3,0)+IF(ISNUMBER(Z2),Parámetros!$B$4,0)+IF(ISNUMBER(AA2),Parámetros!$B$5,0)+IF(ISNUMBER(AB2),Parámetros!$B$6,0)+IF(ISNUMBER(AC2),Parámetros!$B$7,0)+IF(ISNUMBER(AD2),Parámetros!$B$8,0)+IF(ISNUMBER(AE2),Parámetros!$B$9,0)+IF(ISNUMBER(AF2),Parámetros!$B$10,0)+IF(ISNUMBER(AG2),Parámetros!$B$11,0)))</f>
        <v>93.7115384615385</v>
      </c>
      <c r="AJ2" s="47" t="n">
        <f aca="false">IF(AND(ISNUMBER(Y2),N(Y2)&lt;60),69.9,IF(OR(AND(ISNUMBER(AE2),N(AE2)&lt;80),AND(ISNUMBER(AC2),N(AC2)&lt;50,N(O2)&gt;=2)),84.9,100))</f>
        <v>100</v>
      </c>
      <c r="AK2" s="47" t="n">
        <f aca="false">IF(AI2="","",MIN(AI2,AJ2))</f>
        <v>93.7115384615385</v>
      </c>
      <c r="AL2" s="47" t="str">
        <f aca="false">IF($C2="","",IF(AK2="","Gris — menos de 3 fuentes",IF(AND(AK2&lt;Parámetros!$B$14,N2&lt;&gt;"",N(N2)&lt;Parámetros!$B$15,N(Y2)&gt;=60),"Gris — repetir observación",IF(AK2&gt;=Parámetros!$B$13,"Verde",IF(AK2&gt;=Parámetros!$B$14,"Amarillo","Rojo")))))</f>
        <v>Verde</v>
      </c>
      <c r="AM2" s="47" t="str">
        <f aca="false">IF($C2="","",IF(AND(ISNUMBER(Y2),N(Y2)&lt;60),"Ejecución &lt; 60 %: rojo automático",IF(AND(ISNUMBER(AE2),N(AE2)&lt;80),"PIAR &lt; 80 %: máximo amarillo",IF(AND(ISNUMBER(AC2),N(AC2)&lt;50,N(O2)&gt;=2),"Observación &lt; 50: máximo amarillo",IF(AND(N2&lt;&gt;"",N(N2)&lt;Parámetros!$B$15),"κ &lt; 0,60: observación descartada, repetir","")))))</f>
        <v/>
      </c>
    </row>
    <row r="3" customFormat="false" ht="15" hidden="false" customHeight="false" outlineLevel="0" collapsed="false">
      <c r="A3" s="46" t="n">
        <v>2027</v>
      </c>
      <c r="B3" s="46" t="n">
        <v>1</v>
      </c>
      <c r="C3" s="46" t="s">
        <v>143</v>
      </c>
      <c r="D3" s="46" t="s">
        <v>144</v>
      </c>
      <c r="E3" s="46" t="n">
        <v>10</v>
      </c>
      <c r="F3" s="46" t="n">
        <v>8</v>
      </c>
      <c r="G3" s="46" t="n">
        <v>10</v>
      </c>
      <c r="H3" s="46" t="n">
        <v>10</v>
      </c>
      <c r="I3" s="46" t="n">
        <v>6</v>
      </c>
      <c r="J3" s="46" t="n">
        <v>5</v>
      </c>
      <c r="K3" s="46" t="n">
        <v>19</v>
      </c>
      <c r="L3" s="46" t="n">
        <v>2.2</v>
      </c>
      <c r="M3" s="46" t="n">
        <v>4</v>
      </c>
      <c r="N3" s="46" t="n">
        <v>0.85</v>
      </c>
      <c r="O3" s="46" t="n">
        <v>2</v>
      </c>
      <c r="P3" s="46" t="n">
        <v>0.52</v>
      </c>
      <c r="Q3" s="46" t="n">
        <v>24</v>
      </c>
      <c r="R3" s="46"/>
      <c r="S3" s="46"/>
      <c r="T3" s="46" t="n">
        <v>4</v>
      </c>
      <c r="U3" s="46" t="n">
        <v>1</v>
      </c>
      <c r="V3" s="46" t="n">
        <v>4.3</v>
      </c>
      <c r="W3" s="46" t="n">
        <v>24</v>
      </c>
      <c r="X3" s="47" t="n">
        <f aca="false">IF(N(E3)&gt;0,MIN(100,F3/E3*100),"")</f>
        <v>80</v>
      </c>
      <c r="Y3" s="47" t="n">
        <f aca="false">IF(N(G3)&gt;0,MIN(100,H3/G3*100),"")</f>
        <v>100</v>
      </c>
      <c r="Z3" s="47" t="n">
        <f aca="false">IF(N(I3)&gt;0,MIN(100,J3/I3*100),"")</f>
        <v>83.3333333333333</v>
      </c>
      <c r="AA3" s="47" t="n">
        <f aca="false">IF(K3="","",K3/24*100)</f>
        <v>79.1666666666667</v>
      </c>
      <c r="AB3" s="47" t="n">
        <f aca="false">IF(L3="","",L3/3*100)</f>
        <v>73.3333333333333</v>
      </c>
      <c r="AC3" s="47" t="n">
        <f aca="false">IF(OR(M3="",AND(N3&lt;&gt;"",N(N3)&lt;Parámetros!$B$15)),"",MAX(0,MIN(100,(M3-1)/4*100)))</f>
        <v>75</v>
      </c>
      <c r="AD3" s="47" t="n">
        <f aca="false">IF(OR(P3="",N(Q3)=0),"",MAX(0,MIN(100,((Q3/(Q3+Parámetros!$B$16))*P3+(Parámetros!$B$16/(Q3+Parámetros!$B$16))*Parámetros!$B$17-0.1)/0.4*100)))</f>
        <v>88.8235294117647</v>
      </c>
      <c r="AE3" s="47" t="str">
        <f aca="false">IF(N(R3)&gt;0,MIN(100,S3/R3*100),"")</f>
        <v/>
      </c>
      <c r="AF3" s="47" t="n">
        <f aca="false">IF(N(U3)&gt;0,MIN(100,T3/(U3*5)*100),"")</f>
        <v>80</v>
      </c>
      <c r="AG3" s="47" t="n">
        <f aca="false">IF(OR(V3="",N(W3)&lt;10),"",(V3-1)/4*100)</f>
        <v>82.5</v>
      </c>
      <c r="AH3" s="47" t="n">
        <f aca="false">IF($C3="","",COUNT(X3:AG3))</f>
        <v>9</v>
      </c>
      <c r="AI3" s="47" t="n">
        <f aca="false">IF(OR($C3="",N(AH3)&lt;Parámetros!$B$18),"",(IF(ISNUMBER(X3),X3*Parámetros!$B$2,0)+IF(ISNUMBER(Y3),Y3*Parámetros!$B$3,0)+IF(ISNUMBER(Z3),Z3*Parámetros!$B$4,0)+IF(ISNUMBER(AA3),AA3*Parámetros!$B$5,0)+IF(ISNUMBER(AB3),AB3*Parámetros!$B$6,0)+IF(ISNUMBER(AC3),AC3*Parámetros!$B$7,0)+IF(ISNUMBER(AD3),AD3*Parámetros!$B$8,0)+IF(ISNUMBER(AE3),AE3*Parámetros!$B$9,0)+IF(ISNUMBER(AF3),AF3*Parámetros!$B$10,0)+IF(ISNUMBER(AG3),AG3*Parámetros!$B$11,0))/(IF(ISNUMBER(X3),Parámetros!$B$2,0)+IF(ISNUMBER(Y3),Parámetros!$B$3,0)+IF(ISNUMBER(Z3),Parámetros!$B$4,0)+IF(ISNUMBER(AA3),Parámetros!$B$5,0)+IF(ISNUMBER(AB3),Parámetros!$B$6,0)+IF(ISNUMBER(AC3),Parámetros!$B$7,0)+IF(ISNUMBER(AD3),Parámetros!$B$8,0)+IF(ISNUMBER(AE3),Parámetros!$B$9,0)+IF(ISNUMBER(AF3),Parámetros!$B$10,0)+IF(ISNUMBER(AG3),Parámetros!$B$11,0)))</f>
        <v>82.2576252723312</v>
      </c>
      <c r="AJ3" s="47" t="n">
        <f aca="false">IF(AND(ISNUMBER(Y3),N(Y3)&lt;60),69.9,IF(OR(AND(ISNUMBER(AE3),N(AE3)&lt;80),AND(ISNUMBER(AC3),N(AC3)&lt;50,N(O3)&gt;=2)),84.9,100))</f>
        <v>100</v>
      </c>
      <c r="AK3" s="47" t="n">
        <f aca="false">IF(AI3="","",MIN(AI3,AJ3))</f>
        <v>82.2576252723312</v>
      </c>
      <c r="AL3" s="47" t="str">
        <f aca="false">IF($C3="","",IF(AK3="","Gris — menos de 3 fuentes",IF(AND(AK3&lt;Parámetros!$B$14,N3&lt;&gt;"",N(N3)&lt;Parámetros!$B$15,N(Y3)&gt;=60),"Gris — repetir observación",IF(AK3&gt;=Parámetros!$B$13,"Verde",IF(AK3&gt;=Parámetros!$B$14,"Amarillo","Rojo")))))</f>
        <v>Amarillo</v>
      </c>
      <c r="AM3" s="47" t="str">
        <f aca="false">IF($C3="","",IF(AND(ISNUMBER(Y3),N(Y3)&lt;60),"Ejecución &lt; 60 %: rojo automático",IF(AND(ISNUMBER(AE3),N(AE3)&lt;80),"PIAR &lt; 80 %: máximo amarillo",IF(AND(ISNUMBER(AC3),N(AC3)&lt;50,N(O3)&gt;=2),"Observación &lt; 50: máximo amarillo",IF(AND(N3&lt;&gt;"",N(N3)&lt;Parámetros!$B$15),"κ &lt; 0,60: observación descartada, repetir","")))))</f>
        <v/>
      </c>
    </row>
    <row r="4" customFormat="false" ht="15" hidden="false" customHeight="false" outlineLevel="0" collapsed="false">
      <c r="A4" s="46" t="n">
        <v>2027</v>
      </c>
      <c r="B4" s="46" t="n">
        <v>1</v>
      </c>
      <c r="C4" s="46" t="s">
        <v>145</v>
      </c>
      <c r="D4" s="46" t="s">
        <v>146</v>
      </c>
      <c r="E4" s="46" t="n">
        <v>10</v>
      </c>
      <c r="F4" s="46" t="n">
        <v>7</v>
      </c>
      <c r="G4" s="46" t="n">
        <v>10</v>
      </c>
      <c r="H4" s="46" t="n">
        <v>7</v>
      </c>
      <c r="I4" s="46" t="n">
        <v>6</v>
      </c>
      <c r="J4" s="46" t="n">
        <v>5</v>
      </c>
      <c r="K4" s="46" t="n">
        <v>16</v>
      </c>
      <c r="L4" s="46" t="n">
        <v>2.1</v>
      </c>
      <c r="M4" s="46" t="n">
        <v>3.4</v>
      </c>
      <c r="N4" s="46" t="n">
        <v>0.73</v>
      </c>
      <c r="O4" s="46" t="n">
        <v>2</v>
      </c>
      <c r="P4" s="46" t="n">
        <v>0.44</v>
      </c>
      <c r="Q4" s="46" t="n">
        <v>27</v>
      </c>
      <c r="R4" s="46"/>
      <c r="S4" s="46"/>
      <c r="T4" s="46" t="n">
        <v>4</v>
      </c>
      <c r="U4" s="46" t="n">
        <v>1</v>
      </c>
      <c r="V4" s="46" t="n">
        <v>4</v>
      </c>
      <c r="W4" s="46" t="n">
        <v>23</v>
      </c>
      <c r="X4" s="47" t="n">
        <f aca="false">IF(N(E4)&gt;0,MIN(100,F4/E4*100),"")</f>
        <v>70</v>
      </c>
      <c r="Y4" s="47" t="n">
        <f aca="false">IF(N(G4)&gt;0,MIN(100,H4/G4*100),"")</f>
        <v>70</v>
      </c>
      <c r="Z4" s="47" t="n">
        <f aca="false">IF(N(I4)&gt;0,MIN(100,J4/I4*100),"")</f>
        <v>83.3333333333333</v>
      </c>
      <c r="AA4" s="47" t="n">
        <f aca="false">IF(K4="","",K4/24*100)</f>
        <v>66.6666666666667</v>
      </c>
      <c r="AB4" s="47" t="n">
        <f aca="false">IF(L4="","",L4/3*100)</f>
        <v>70</v>
      </c>
      <c r="AC4" s="47" t="n">
        <f aca="false">IF(OR(M4="",AND(N4&lt;&gt;"",N(N4)&lt;Parámetros!$B$15)),"",MAX(0,MIN(100,(M4-1)/4*100)))</f>
        <v>60</v>
      </c>
      <c r="AD4" s="47" t="n">
        <f aca="false">IF(OR(P4="",N(Q4)=0),"",MAX(0,MIN(100,((Q4/(Q4+Parámetros!$B$16))*P4+(Parámetros!$B$16/(Q4+Parámetros!$B$16))*Parámetros!$B$17-0.1)/0.4*100)))</f>
        <v>75.5405405405406</v>
      </c>
      <c r="AE4" s="47" t="str">
        <f aca="false">IF(N(R4)&gt;0,MIN(100,S4/R4*100),"")</f>
        <v/>
      </c>
      <c r="AF4" s="47" t="n">
        <f aca="false">IF(N(U4)&gt;0,MIN(100,T4/(U4*5)*100),"")</f>
        <v>80</v>
      </c>
      <c r="AG4" s="47" t="n">
        <f aca="false">IF(OR(V4="",N(W4)&lt;10),"",(V4-1)/4*100)</f>
        <v>75</v>
      </c>
      <c r="AH4" s="47" t="n">
        <f aca="false">IF($C4="","",COUNT(X4:AG4))</f>
        <v>9</v>
      </c>
      <c r="AI4" s="47" t="n">
        <f aca="false">IF(OR($C4="",N(AH4)&lt;Parámetros!$B$18),"",(IF(ISNUMBER(X4),X4*Parámetros!$B$2,0)+IF(ISNUMBER(Y4),Y4*Parámetros!$B$3,0)+IF(ISNUMBER(Z4),Z4*Parámetros!$B$4,0)+IF(ISNUMBER(AA4),AA4*Parámetros!$B$5,0)+IF(ISNUMBER(AB4),AB4*Parámetros!$B$6,0)+IF(ISNUMBER(AC4),AC4*Parámetros!$B$7,0)+IF(ISNUMBER(AD4),AD4*Parámetros!$B$8,0)+IF(ISNUMBER(AE4),AE4*Parámetros!$B$9,0)+IF(ISNUMBER(AF4),AF4*Parámetros!$B$10,0)+IF(ISNUMBER(AG4),AG4*Parámetros!$B$11,0))/(IF(ISNUMBER(X4),Parámetros!$B$2,0)+IF(ISNUMBER(Y4),Parámetros!$B$3,0)+IF(ISNUMBER(Z4),Parámetros!$B$4,0)+IF(ISNUMBER(AA4),Parámetros!$B$5,0)+IF(ISNUMBER(AB4),Parámetros!$B$6,0)+IF(ISNUMBER(AC4),Parámetros!$B$7,0)+IF(ISNUMBER(AD4),Parámetros!$B$8,0)+IF(ISNUMBER(AE4),Parámetros!$B$9,0)+IF(ISNUMBER(AF4),Parámetros!$B$10,0)+IF(ISNUMBER(AG4),Parámetros!$B$11,0)))</f>
        <v>70.6456456456456</v>
      </c>
      <c r="AJ4" s="47" t="n">
        <f aca="false">IF(AND(ISNUMBER(Y4),N(Y4)&lt;60),69.9,IF(OR(AND(ISNUMBER(AE4),N(AE4)&lt;80),AND(ISNUMBER(AC4),N(AC4)&lt;50,N(O4)&gt;=2)),84.9,100))</f>
        <v>100</v>
      </c>
      <c r="AK4" s="47" t="n">
        <f aca="false">IF(AI4="","",MIN(AI4,AJ4))</f>
        <v>70.6456456456456</v>
      </c>
      <c r="AL4" s="47" t="str">
        <f aca="false">IF($C4="","",IF(AK4="","Gris — menos de 3 fuentes",IF(AND(AK4&lt;Parámetros!$B$14,N4&lt;&gt;"",N(N4)&lt;Parámetros!$B$15,N(Y4)&gt;=60),"Gris — repetir observación",IF(AK4&gt;=Parámetros!$B$13,"Verde",IF(AK4&gt;=Parámetros!$B$14,"Amarillo","Rojo")))))</f>
        <v>Amarillo</v>
      </c>
      <c r="AM4" s="47" t="str">
        <f aca="false">IF($C4="","",IF(AND(ISNUMBER(Y4),N(Y4)&lt;60),"Ejecución &lt; 60 %: rojo automático",IF(AND(ISNUMBER(AE4),N(AE4)&lt;80),"PIAR &lt; 80 %: máximo amarillo",IF(AND(ISNUMBER(AC4),N(AC4)&lt;50,N(O4)&gt;=2),"Observación &lt; 50: máximo amarillo",IF(AND(N4&lt;&gt;"",N(N4)&lt;Parámetros!$B$15),"κ &lt; 0,60: observación descartada, repetir","")))))</f>
        <v/>
      </c>
    </row>
    <row r="5" customFormat="false" ht="15" hidden="false" customHeight="false" outlineLevel="0" collapsed="false">
      <c r="A5" s="46" t="n">
        <v>2027</v>
      </c>
      <c r="B5" s="46" t="n">
        <v>1</v>
      </c>
      <c r="C5" s="46" t="s">
        <v>147</v>
      </c>
      <c r="D5" s="46" t="s">
        <v>148</v>
      </c>
      <c r="E5" s="46" t="n">
        <v>10</v>
      </c>
      <c r="F5" s="46" t="n">
        <v>10</v>
      </c>
      <c r="G5" s="46" t="n">
        <v>10</v>
      </c>
      <c r="H5" s="46" t="n">
        <v>10</v>
      </c>
      <c r="I5" s="46" t="n">
        <v>6</v>
      </c>
      <c r="J5" s="46" t="n">
        <v>6</v>
      </c>
      <c r="K5" s="46" t="n">
        <v>20</v>
      </c>
      <c r="L5" s="46" t="n">
        <v>2.8</v>
      </c>
      <c r="M5" s="46" t="n">
        <v>4.3</v>
      </c>
      <c r="N5" s="46" t="n">
        <v>0.9</v>
      </c>
      <c r="O5" s="46" t="n">
        <v>2</v>
      </c>
      <c r="P5" s="46" t="n">
        <v>0.47</v>
      </c>
      <c r="Q5" s="46" t="n">
        <v>24</v>
      </c>
      <c r="R5" s="46" t="n">
        <v>6</v>
      </c>
      <c r="S5" s="46" t="n">
        <v>6</v>
      </c>
      <c r="T5" s="46" t="n">
        <v>5</v>
      </c>
      <c r="U5" s="46" t="n">
        <v>1</v>
      </c>
      <c r="V5" s="46" t="n">
        <v>4.5</v>
      </c>
      <c r="W5" s="46" t="n">
        <v>26</v>
      </c>
      <c r="X5" s="47" t="n">
        <f aca="false">IF(N(E5)&gt;0,MIN(100,F5/E5*100),"")</f>
        <v>100</v>
      </c>
      <c r="Y5" s="47" t="n">
        <f aca="false">IF(N(G5)&gt;0,MIN(100,H5/G5*100),"")</f>
        <v>100</v>
      </c>
      <c r="Z5" s="47" t="n">
        <f aca="false">IF(N(I5)&gt;0,MIN(100,J5/I5*100),"")</f>
        <v>100</v>
      </c>
      <c r="AA5" s="47" t="n">
        <f aca="false">IF(K5="","",K5/24*100)</f>
        <v>83.3333333333333</v>
      </c>
      <c r="AB5" s="47" t="n">
        <f aca="false">IF(L5="","",L5/3*100)</f>
        <v>93.3333333333333</v>
      </c>
      <c r="AC5" s="47" t="n">
        <f aca="false">IF(OR(M5="",AND(N5&lt;&gt;"",N(N5)&lt;Parámetros!$B$15)),"",MAX(0,MIN(100,(M5-1)/4*100)))</f>
        <v>82.5</v>
      </c>
      <c r="AD5" s="47" t="n">
        <f aca="false">IF(OR(P5="",N(Q5)=0),"",MAX(0,MIN(100,((Q5/(Q5+Parámetros!$B$16))*P5+(Parámetros!$B$16/(Q5+Parámetros!$B$16))*Parámetros!$B$17-0.1)/0.4*100)))</f>
        <v>80</v>
      </c>
      <c r="AE5" s="47" t="n">
        <f aca="false">IF(N(R5)&gt;0,MIN(100,S5/R5*100),"")</f>
        <v>100</v>
      </c>
      <c r="AF5" s="47" t="n">
        <f aca="false">IF(N(U5)&gt;0,MIN(100,T5/(U5*5)*100),"")</f>
        <v>100</v>
      </c>
      <c r="AG5" s="47" t="n">
        <f aca="false">IF(OR(V5="",N(W5)&lt;10),"",(V5-1)/4*100)</f>
        <v>87.5</v>
      </c>
      <c r="AH5" s="47" t="n">
        <f aca="false">IF($C5="","",COUNT(X5:AG5))</f>
        <v>10</v>
      </c>
      <c r="AI5" s="47" t="n">
        <f aca="false">IF(OR($C5="",N(AH5)&lt;Parámetros!$B$18),"",(IF(ISNUMBER(X5),X5*Parámetros!$B$2,0)+IF(ISNUMBER(Y5),Y5*Parámetros!$B$3,0)+IF(ISNUMBER(Z5),Z5*Parámetros!$B$4,0)+IF(ISNUMBER(AA5),AA5*Parámetros!$B$5,0)+IF(ISNUMBER(AB5),AB5*Parámetros!$B$6,0)+IF(ISNUMBER(AC5),AC5*Parámetros!$B$7,0)+IF(ISNUMBER(AD5),AD5*Parámetros!$B$8,0)+IF(ISNUMBER(AE5),AE5*Parámetros!$B$9,0)+IF(ISNUMBER(AF5),AF5*Parámetros!$B$10,0)+IF(ISNUMBER(AG5),AG5*Parámetros!$B$11,0))/(IF(ISNUMBER(X5),Parámetros!$B$2,0)+IF(ISNUMBER(Y5),Parámetros!$B$3,0)+IF(ISNUMBER(Z5),Parámetros!$B$4,0)+IF(ISNUMBER(AA5),Parámetros!$B$5,0)+IF(ISNUMBER(AB5),Parámetros!$B$6,0)+IF(ISNUMBER(AC5),Parámetros!$B$7,0)+IF(ISNUMBER(AD5),Parámetros!$B$8,0)+IF(ISNUMBER(AE5),Parámetros!$B$9,0)+IF(ISNUMBER(AF5),Parámetros!$B$10,0)+IF(ISNUMBER(AG5),Parámetros!$B$11,0)))</f>
        <v>90.5416666666667</v>
      </c>
      <c r="AJ5" s="47" t="n">
        <f aca="false">IF(AND(ISNUMBER(Y5),N(Y5)&lt;60),69.9,IF(OR(AND(ISNUMBER(AE5),N(AE5)&lt;80),AND(ISNUMBER(AC5),N(AC5)&lt;50,N(O5)&gt;=2)),84.9,100))</f>
        <v>100</v>
      </c>
      <c r="AK5" s="47" t="n">
        <f aca="false">IF(AI5="","",MIN(AI5,AJ5))</f>
        <v>90.5416666666667</v>
      </c>
      <c r="AL5" s="47" t="str">
        <f aca="false">IF($C5="","",IF(AK5="","Gris — menos de 3 fuentes",IF(AND(AK5&lt;Parámetros!$B$14,N5&lt;&gt;"",N(N5)&lt;Parámetros!$B$15,N(Y5)&gt;=60),"Gris — repetir observación",IF(AK5&gt;=Parámetros!$B$13,"Verde",IF(AK5&gt;=Parámetros!$B$14,"Amarillo","Rojo")))))</f>
        <v>Verde</v>
      </c>
      <c r="AM5" s="47" t="str">
        <f aca="false">IF($C5="","",IF(AND(ISNUMBER(Y5),N(Y5)&lt;60),"Ejecución &lt; 60 %: rojo automático",IF(AND(ISNUMBER(AE5),N(AE5)&lt;80),"PIAR &lt; 80 %: máximo amarillo",IF(AND(ISNUMBER(AC5),N(AC5)&lt;50,N(O5)&gt;=2),"Observación &lt; 50: máximo amarillo",IF(AND(N5&lt;&gt;"",N(N5)&lt;Parámetros!$B$15),"κ &lt; 0,60: observación descartada, repetir","")))))</f>
        <v/>
      </c>
    </row>
    <row r="6" customFormat="false" ht="15" hidden="false" customHeight="false" outlineLevel="0" collapsed="false">
      <c r="A6" s="46" t="n">
        <v>2027</v>
      </c>
      <c r="B6" s="46" t="n">
        <v>1</v>
      </c>
      <c r="C6" s="46" t="s">
        <v>149</v>
      </c>
      <c r="D6" s="46" t="s">
        <v>150</v>
      </c>
      <c r="E6" s="46" t="n">
        <v>10</v>
      </c>
      <c r="F6" s="46" t="n">
        <v>8</v>
      </c>
      <c r="G6" s="46" t="n">
        <v>10</v>
      </c>
      <c r="H6" s="46" t="n">
        <v>9</v>
      </c>
      <c r="I6" s="46" t="n">
        <v>6</v>
      </c>
      <c r="J6" s="46" t="n">
        <v>5</v>
      </c>
      <c r="K6" s="46" t="n">
        <v>17</v>
      </c>
      <c r="L6" s="46" t="n">
        <v>2</v>
      </c>
      <c r="M6" s="46" t="n">
        <v>3.7</v>
      </c>
      <c r="N6" s="46" t="n">
        <v>0.8</v>
      </c>
      <c r="O6" s="46" t="n">
        <v>2</v>
      </c>
      <c r="P6" s="46" t="n">
        <v>0.36</v>
      </c>
      <c r="Q6" s="46" t="n">
        <v>30</v>
      </c>
      <c r="R6" s="46"/>
      <c r="S6" s="46"/>
      <c r="T6" s="46" t="n">
        <v>4</v>
      </c>
      <c r="U6" s="46" t="n">
        <v>1</v>
      </c>
      <c r="V6" s="46" t="n">
        <v>4.2</v>
      </c>
      <c r="W6" s="46" t="n">
        <v>27</v>
      </c>
      <c r="X6" s="47" t="n">
        <f aca="false">IF(N(E6)&gt;0,MIN(100,F6/E6*100),"")</f>
        <v>80</v>
      </c>
      <c r="Y6" s="47" t="n">
        <f aca="false">IF(N(G6)&gt;0,MIN(100,H6/G6*100),"")</f>
        <v>90</v>
      </c>
      <c r="Z6" s="47" t="n">
        <f aca="false">IF(N(I6)&gt;0,MIN(100,J6/I6*100),"")</f>
        <v>83.3333333333333</v>
      </c>
      <c r="AA6" s="47" t="n">
        <f aca="false">IF(K6="","",K6/24*100)</f>
        <v>70.8333333333333</v>
      </c>
      <c r="AB6" s="47" t="n">
        <f aca="false">IF(L6="","",L6/3*100)</f>
        <v>66.6666666666667</v>
      </c>
      <c r="AC6" s="47" t="n">
        <f aca="false">IF(OR(M6="",AND(N6&lt;&gt;"",N(N6)&lt;Parámetros!$B$15)),"",MAX(0,MIN(100,(M6-1)/4*100)))</f>
        <v>67.5</v>
      </c>
      <c r="AD6" s="47" t="n">
        <f aca="false">IF(OR(P6="",N(Q6)=0),"",MAX(0,MIN(100,((Q6/(Q6+Parámetros!$B$16))*P6+(Parámetros!$B$16/(Q6+Parámetros!$B$16))*Parámetros!$B$17-0.1)/0.4*100)))</f>
        <v>61.25</v>
      </c>
      <c r="AE6" s="47" t="str">
        <f aca="false">IF(N(R6)&gt;0,MIN(100,S6/R6*100),"")</f>
        <v/>
      </c>
      <c r="AF6" s="47" t="n">
        <f aca="false">IF(N(U6)&gt;0,MIN(100,T6/(U6*5)*100),"")</f>
        <v>80</v>
      </c>
      <c r="AG6" s="47" t="n">
        <f aca="false">IF(OR(V6="",N(W6)&lt;10),"",(V6-1)/4*100)</f>
        <v>80</v>
      </c>
      <c r="AH6" s="47" t="n">
        <f aca="false">IF($C6="","",COUNT(X6:AG6))</f>
        <v>9</v>
      </c>
      <c r="AI6" s="47" t="n">
        <f aca="false">IF(OR($C6="",N(AH6)&lt;Parámetros!$B$18),"",(IF(ISNUMBER(X6),X6*Parámetros!$B$2,0)+IF(ISNUMBER(Y6),Y6*Parámetros!$B$3,0)+IF(ISNUMBER(Z6),Z6*Parámetros!$B$4,0)+IF(ISNUMBER(AA6),AA6*Parámetros!$B$5,0)+IF(ISNUMBER(AB6),AB6*Parámetros!$B$6,0)+IF(ISNUMBER(AC6),AC6*Parámetros!$B$7,0)+IF(ISNUMBER(AD6),AD6*Parámetros!$B$8,0)+IF(ISNUMBER(AE6),AE6*Parámetros!$B$9,0)+IF(ISNUMBER(AF6),AF6*Parámetros!$B$10,0)+IF(ISNUMBER(AG6),AG6*Parámetros!$B$11,0))/(IF(ISNUMBER(X6),Parámetros!$B$2,0)+IF(ISNUMBER(Y6),Parámetros!$B$3,0)+IF(ISNUMBER(Z6),Parámetros!$B$4,0)+IF(ISNUMBER(AA6),Parámetros!$B$5,0)+IF(ISNUMBER(AB6),Parámetros!$B$6,0)+IF(ISNUMBER(AC6),Parámetros!$B$7,0)+IF(ISNUMBER(AD6),Parámetros!$B$8,0)+IF(ISNUMBER(AE6),Parámetros!$B$9,0)+IF(ISNUMBER(AF6),Parámetros!$B$10,0)+IF(ISNUMBER(AG6),Parámetros!$B$11,0)))</f>
        <v>73.0787037037037</v>
      </c>
      <c r="AJ6" s="47" t="n">
        <f aca="false">IF(AND(ISNUMBER(Y6),N(Y6)&lt;60),69.9,IF(OR(AND(ISNUMBER(AE6),N(AE6)&lt;80),AND(ISNUMBER(AC6),N(AC6)&lt;50,N(O6)&gt;=2)),84.9,100))</f>
        <v>100</v>
      </c>
      <c r="AK6" s="47" t="n">
        <f aca="false">IF(AI6="","",MIN(AI6,AJ6))</f>
        <v>73.0787037037037</v>
      </c>
      <c r="AL6" s="47" t="str">
        <f aca="false">IF($C6="","",IF(AK6="","Gris — menos de 3 fuentes",IF(AND(AK6&lt;Parámetros!$B$14,N6&lt;&gt;"",N(N6)&lt;Parámetros!$B$15,N(Y6)&gt;=60),"Gris — repetir observación",IF(AK6&gt;=Parámetros!$B$13,"Verde",IF(AK6&gt;=Parámetros!$B$14,"Amarillo","Rojo")))))</f>
        <v>Amarillo</v>
      </c>
      <c r="AM6" s="47" t="str">
        <f aca="false">IF($C6="","",IF(AND(ISNUMBER(Y6),N(Y6)&lt;60),"Ejecución &lt; 60 %: rojo automático",IF(AND(ISNUMBER(AE6),N(AE6)&lt;80),"PIAR &lt; 80 %: máximo amarillo",IF(AND(ISNUMBER(AC6),N(AC6)&lt;50,N(O6)&gt;=2),"Observación &lt; 50: máximo amarillo",IF(AND(N6&lt;&gt;"",N(N6)&lt;Parámetros!$B$15),"κ &lt; 0,60: observación descartada, repetir","")))))</f>
        <v/>
      </c>
    </row>
    <row r="7" customFormat="false" ht="15" hidden="false" customHeight="false" outlineLevel="0" collapsed="false">
      <c r="A7" s="46" t="n">
        <v>2027</v>
      </c>
      <c r="B7" s="46" t="n">
        <v>1</v>
      </c>
      <c r="C7" s="46" t="s">
        <v>151</v>
      </c>
      <c r="D7" s="46" t="s">
        <v>152</v>
      </c>
      <c r="E7" s="46" t="n">
        <v>10</v>
      </c>
      <c r="F7" s="46" t="n">
        <v>6</v>
      </c>
      <c r="G7" s="46" t="n">
        <v>10</v>
      </c>
      <c r="H7" s="46" t="n">
        <v>7</v>
      </c>
      <c r="I7" s="46" t="n">
        <v>6</v>
      </c>
      <c r="J7" s="46" t="n">
        <v>3</v>
      </c>
      <c r="K7" s="46" t="n">
        <v>11</v>
      </c>
      <c r="L7" s="46" t="n">
        <v>1.3</v>
      </c>
      <c r="M7" s="46" t="n">
        <v>2.7</v>
      </c>
      <c r="N7" s="46" t="n">
        <v>0.71</v>
      </c>
      <c r="O7" s="46" t="n">
        <v>2</v>
      </c>
      <c r="P7" s="46" t="n">
        <v>0.36</v>
      </c>
      <c r="Q7" s="46" t="n">
        <v>30</v>
      </c>
      <c r="R7" s="46"/>
      <c r="S7" s="46"/>
      <c r="T7" s="46" t="n">
        <v>3</v>
      </c>
      <c r="U7" s="46" t="n">
        <v>1</v>
      </c>
      <c r="V7" s="46" t="n">
        <v>3.7</v>
      </c>
      <c r="W7" s="46" t="n">
        <v>19</v>
      </c>
      <c r="X7" s="47" t="n">
        <f aca="false">IF(N(E7)&gt;0,MIN(100,F7/E7*100),"")</f>
        <v>60</v>
      </c>
      <c r="Y7" s="47" t="n">
        <f aca="false">IF(N(G7)&gt;0,MIN(100,H7/G7*100),"")</f>
        <v>70</v>
      </c>
      <c r="Z7" s="47" t="n">
        <f aca="false">IF(N(I7)&gt;0,MIN(100,J7/I7*100),"")</f>
        <v>50</v>
      </c>
      <c r="AA7" s="47" t="n">
        <f aca="false">IF(K7="","",K7/24*100)</f>
        <v>45.8333333333333</v>
      </c>
      <c r="AB7" s="47" t="n">
        <f aca="false">IF(L7="","",L7/3*100)</f>
        <v>43.3333333333333</v>
      </c>
      <c r="AC7" s="47" t="n">
        <f aca="false">IF(OR(M7="",AND(N7&lt;&gt;"",N(N7)&lt;Parámetros!$B$15)),"",MAX(0,MIN(100,(M7-1)/4*100)))</f>
        <v>42.5</v>
      </c>
      <c r="AD7" s="47" t="n">
        <f aca="false">IF(OR(P7="",N(Q7)=0),"",MAX(0,MIN(100,((Q7/(Q7+Parámetros!$B$16))*P7+(Parámetros!$B$16/(Q7+Parámetros!$B$16))*Parámetros!$B$17-0.1)/0.4*100)))</f>
        <v>61.25</v>
      </c>
      <c r="AE7" s="47" t="str">
        <f aca="false">IF(N(R7)&gt;0,MIN(100,S7/R7*100),"")</f>
        <v/>
      </c>
      <c r="AF7" s="47" t="n">
        <f aca="false">IF(N(U7)&gt;0,MIN(100,T7/(U7*5)*100),"")</f>
        <v>60</v>
      </c>
      <c r="AG7" s="47" t="n">
        <f aca="false">IF(OR(V7="",N(W7)&lt;10),"",(V7-1)/4*100)</f>
        <v>67.5</v>
      </c>
      <c r="AH7" s="47" t="n">
        <f aca="false">IF($C7="","",COUNT(X7:AG7))</f>
        <v>9</v>
      </c>
      <c r="AI7" s="47" t="n">
        <f aca="false">IF(OR($C7="",N(AH7)&lt;Parámetros!$B$18),"",(IF(ISNUMBER(X7),X7*Parámetros!$B$2,0)+IF(ISNUMBER(Y7),Y7*Parámetros!$B$3,0)+IF(ISNUMBER(Z7),Z7*Parámetros!$B$4,0)+IF(ISNUMBER(AA7),AA7*Parámetros!$B$5,0)+IF(ISNUMBER(AB7),AB7*Parámetros!$B$6,0)+IF(ISNUMBER(AC7),AC7*Parámetros!$B$7,0)+IF(ISNUMBER(AD7),AD7*Parámetros!$B$8,0)+IF(ISNUMBER(AE7),AE7*Parámetros!$B$9,0)+IF(ISNUMBER(AF7),AF7*Parámetros!$B$10,0)+IF(ISNUMBER(AG7),AG7*Parámetros!$B$11,0))/(IF(ISNUMBER(X7),Parámetros!$B$2,0)+IF(ISNUMBER(Y7),Parámetros!$B$3,0)+IF(ISNUMBER(Z7),Parámetros!$B$4,0)+IF(ISNUMBER(AA7),Parámetros!$B$5,0)+IF(ISNUMBER(AB7),Parámetros!$B$6,0)+IF(ISNUMBER(AC7),Parámetros!$B$7,0)+IF(ISNUMBER(AD7),Parámetros!$B$8,0)+IF(ISNUMBER(AE7),Parámetros!$B$9,0)+IF(ISNUMBER(AF7),Parámetros!$B$10,0)+IF(ISNUMBER(AG7),Parámetros!$B$11,0)))</f>
        <v>53.3101851851852</v>
      </c>
      <c r="AJ7" s="47" t="n">
        <f aca="false">IF(AND(ISNUMBER(Y7),N(Y7)&lt;60),69.9,IF(OR(AND(ISNUMBER(AE7),N(AE7)&lt;80),AND(ISNUMBER(AC7),N(AC7)&lt;50,N(O7)&gt;=2)),84.9,100))</f>
        <v>84.9</v>
      </c>
      <c r="AK7" s="47" t="n">
        <f aca="false">IF(AI7="","",MIN(AI7,AJ7))</f>
        <v>53.3101851851852</v>
      </c>
      <c r="AL7" s="47" t="str">
        <f aca="false">IF($C7="","",IF(AK7="","Gris — menos de 3 fuentes",IF(AND(AK7&lt;Parámetros!$B$14,N7&lt;&gt;"",N(N7)&lt;Parámetros!$B$15,N(Y7)&gt;=60),"Gris — repetir observación",IF(AK7&gt;=Parámetros!$B$13,"Verde",IF(AK7&gt;=Parámetros!$B$14,"Amarillo","Rojo")))))</f>
        <v>Rojo</v>
      </c>
      <c r="AM7" s="47" t="str">
        <f aca="false">IF($C7="","",IF(AND(ISNUMBER(Y7),N(Y7)&lt;60),"Ejecución &lt; 60 %: rojo automático",IF(AND(ISNUMBER(AE7),N(AE7)&lt;80),"PIAR &lt; 80 %: máximo amarillo",IF(AND(ISNUMBER(AC7),N(AC7)&lt;50,N(O7)&gt;=2),"Observación &lt; 50: máximo amarillo",IF(AND(N7&lt;&gt;"",N(N7)&lt;Parámetros!$B$15),"κ &lt; 0,60: observación descartada, repetir","")))))</f>
        <v>Observación &lt; 50: máximo amarillo</v>
      </c>
    </row>
    <row r="8" customFormat="false" ht="15" hidden="false" customHeight="false" outlineLevel="0" collapsed="false">
      <c r="A8" s="46" t="n">
        <v>2027</v>
      </c>
      <c r="B8" s="46" t="n">
        <v>1</v>
      </c>
      <c r="C8" s="46" t="s">
        <v>153</v>
      </c>
      <c r="D8" s="46" t="s">
        <v>154</v>
      </c>
      <c r="E8" s="46" t="n">
        <v>10</v>
      </c>
      <c r="F8" s="46" t="n">
        <v>9</v>
      </c>
      <c r="G8" s="46" t="n">
        <v>10</v>
      </c>
      <c r="H8" s="46" t="n">
        <v>10</v>
      </c>
      <c r="I8" s="46" t="n">
        <v>6</v>
      </c>
      <c r="J8" s="46" t="n">
        <v>5</v>
      </c>
      <c r="K8" s="46" t="n">
        <v>19</v>
      </c>
      <c r="L8" s="46" t="n">
        <v>2.5</v>
      </c>
      <c r="M8" s="46" t="n">
        <v>4.1</v>
      </c>
      <c r="N8" s="46" t="n">
        <v>0.76</v>
      </c>
      <c r="O8" s="46" t="n">
        <v>2</v>
      </c>
      <c r="P8" s="46" t="n">
        <v>0.45</v>
      </c>
      <c r="Q8" s="46" t="n">
        <v>25</v>
      </c>
      <c r="R8" s="46" t="n">
        <v>6</v>
      </c>
      <c r="S8" s="46" t="n">
        <v>5</v>
      </c>
      <c r="T8" s="46" t="n">
        <v>5</v>
      </c>
      <c r="U8" s="46" t="n">
        <v>1</v>
      </c>
      <c r="V8" s="46" t="n">
        <v>4.4</v>
      </c>
      <c r="W8" s="46" t="n">
        <v>26</v>
      </c>
      <c r="X8" s="47" t="n">
        <f aca="false">IF(N(E8)&gt;0,MIN(100,F8/E8*100),"")</f>
        <v>90</v>
      </c>
      <c r="Y8" s="47" t="n">
        <f aca="false">IF(N(G8)&gt;0,MIN(100,H8/G8*100),"")</f>
        <v>100</v>
      </c>
      <c r="Z8" s="47" t="n">
        <f aca="false">IF(N(I8)&gt;0,MIN(100,J8/I8*100),"")</f>
        <v>83.3333333333333</v>
      </c>
      <c r="AA8" s="47" t="n">
        <f aca="false">IF(K8="","",K8/24*100)</f>
        <v>79.1666666666667</v>
      </c>
      <c r="AB8" s="47" t="n">
        <f aca="false">IF(L8="","",L8/3*100)</f>
        <v>83.3333333333333</v>
      </c>
      <c r="AC8" s="47" t="n">
        <f aca="false">IF(OR(M8="",AND(N8&lt;&gt;"",N(N8)&lt;Parámetros!$B$15)),"",MAX(0,MIN(100,(M8-1)/4*100)))</f>
        <v>77.5</v>
      </c>
      <c r="AD8" s="47" t="n">
        <f aca="false">IF(OR(P8="",N(Q8)=0),"",MAX(0,MIN(100,((Q8/(Q8+Parámetros!$B$16))*P8+(Parámetros!$B$16/(Q8+Parámetros!$B$16))*Parámetros!$B$17-0.1)/0.4*100)))</f>
        <v>76.7857142857143</v>
      </c>
      <c r="AE8" s="47" t="n">
        <f aca="false">IF(N(R8)&gt;0,MIN(100,S8/R8*100),"")</f>
        <v>83.3333333333333</v>
      </c>
      <c r="AF8" s="47" t="n">
        <f aca="false">IF(N(U8)&gt;0,MIN(100,T8/(U8*5)*100),"")</f>
        <v>100</v>
      </c>
      <c r="AG8" s="47" t="n">
        <f aca="false">IF(OR(V8="",N(W8)&lt;10),"",(V8-1)/4*100)</f>
        <v>85</v>
      </c>
      <c r="AH8" s="47" t="n">
        <f aca="false">IF($C8="","",COUNT(X8:AG8))</f>
        <v>10</v>
      </c>
      <c r="AI8" s="47" t="n">
        <f aca="false">IF(OR($C8="",N(AH8)&lt;Parámetros!$B$18),"",(IF(ISNUMBER(X8),X8*Parámetros!$B$2,0)+IF(ISNUMBER(Y8),Y8*Parámetros!$B$3,0)+IF(ISNUMBER(Z8),Z8*Parámetros!$B$4,0)+IF(ISNUMBER(AA8),AA8*Parámetros!$B$5,0)+IF(ISNUMBER(AB8),AB8*Parámetros!$B$6,0)+IF(ISNUMBER(AC8),AC8*Parámetros!$B$7,0)+IF(ISNUMBER(AD8),AD8*Parámetros!$B$8,0)+IF(ISNUMBER(AE8),AE8*Parámetros!$B$9,0)+IF(ISNUMBER(AF8),AF8*Parámetros!$B$10,0)+IF(ISNUMBER(AG8),AG8*Parámetros!$B$11,0))/(IF(ISNUMBER(X8),Parámetros!$B$2,0)+IF(ISNUMBER(Y8),Parámetros!$B$3,0)+IF(ISNUMBER(Z8),Parámetros!$B$4,0)+IF(ISNUMBER(AA8),Parámetros!$B$5,0)+IF(ISNUMBER(AB8),Parámetros!$B$6,0)+IF(ISNUMBER(AC8),Parámetros!$B$7,0)+IF(ISNUMBER(AD8),Parámetros!$B$8,0)+IF(ISNUMBER(AE8),Parámetros!$B$9,0)+IF(ISNUMBER(AF8),Parámetros!$B$10,0)+IF(ISNUMBER(AG8),Parámetros!$B$11,0)))</f>
        <v>83.6845238095238</v>
      </c>
      <c r="AJ8" s="47" t="n">
        <f aca="false">IF(AND(ISNUMBER(Y8),N(Y8)&lt;60),69.9,IF(OR(AND(ISNUMBER(AE8),N(AE8)&lt;80),AND(ISNUMBER(AC8),N(AC8)&lt;50,N(O8)&gt;=2)),84.9,100))</f>
        <v>100</v>
      </c>
      <c r="AK8" s="47" t="n">
        <f aca="false">IF(AI8="","",MIN(AI8,AJ8))</f>
        <v>83.6845238095238</v>
      </c>
      <c r="AL8" s="47" t="str">
        <f aca="false">IF($C8="","",IF(AK8="","Gris — menos de 3 fuentes",IF(AND(AK8&lt;Parámetros!$B$14,N8&lt;&gt;"",N(N8)&lt;Parámetros!$B$15,N(Y8)&gt;=60),"Gris — repetir observación",IF(AK8&gt;=Parámetros!$B$13,"Verde",IF(AK8&gt;=Parámetros!$B$14,"Amarillo","Rojo")))))</f>
        <v>Amarillo</v>
      </c>
      <c r="AM8" s="47" t="str">
        <f aca="false">IF($C8="","",IF(AND(ISNUMBER(Y8),N(Y8)&lt;60),"Ejecución &lt; 60 %: rojo automático",IF(AND(ISNUMBER(AE8),N(AE8)&lt;80),"PIAR &lt; 80 %: máximo amarillo",IF(AND(ISNUMBER(AC8),N(AC8)&lt;50,N(O8)&gt;=2),"Observación &lt; 50: máximo amarillo",IF(AND(N8&lt;&gt;"",N(N8)&lt;Parámetros!$B$15),"κ &lt; 0,60: observación descartada, repetir","")))))</f>
        <v/>
      </c>
    </row>
    <row r="9" customFormat="false" ht="15" hidden="false" customHeight="false" outlineLevel="0" collapsed="false">
      <c r="A9" s="46" t="n">
        <v>2027</v>
      </c>
      <c r="B9" s="46" t="n">
        <v>1</v>
      </c>
      <c r="C9" s="46" t="s">
        <v>155</v>
      </c>
      <c r="D9" s="46" t="s">
        <v>156</v>
      </c>
      <c r="E9" s="46" t="n">
        <v>10</v>
      </c>
      <c r="F9" s="46" t="n">
        <v>7</v>
      </c>
      <c r="G9" s="46" t="n">
        <v>10</v>
      </c>
      <c r="H9" s="46" t="n">
        <v>8</v>
      </c>
      <c r="I9" s="46" t="n">
        <v>6</v>
      </c>
      <c r="J9" s="46" t="n">
        <v>5</v>
      </c>
      <c r="K9" s="46" t="n">
        <v>15</v>
      </c>
      <c r="L9" s="46" t="n">
        <v>2.2</v>
      </c>
      <c r="M9" s="46" t="n">
        <v>3.7</v>
      </c>
      <c r="N9" s="46" t="n">
        <v>0.84</v>
      </c>
      <c r="O9" s="46" t="n">
        <v>2</v>
      </c>
      <c r="P9" s="46" t="n">
        <v>0.37</v>
      </c>
      <c r="Q9" s="46" t="n">
        <v>29</v>
      </c>
      <c r="R9" s="46"/>
      <c r="S9" s="46"/>
      <c r="T9" s="46" t="n">
        <v>4</v>
      </c>
      <c r="U9" s="46" t="n">
        <v>1</v>
      </c>
      <c r="V9" s="46" t="n">
        <v>4.1</v>
      </c>
      <c r="W9" s="46" t="n">
        <v>18</v>
      </c>
      <c r="X9" s="47" t="n">
        <f aca="false">IF(N(E9)&gt;0,MIN(100,F9/E9*100),"")</f>
        <v>70</v>
      </c>
      <c r="Y9" s="47" t="n">
        <f aca="false">IF(N(G9)&gt;0,MIN(100,H9/G9*100),"")</f>
        <v>80</v>
      </c>
      <c r="Z9" s="47" t="n">
        <f aca="false">IF(N(I9)&gt;0,MIN(100,J9/I9*100),"")</f>
        <v>83.3333333333333</v>
      </c>
      <c r="AA9" s="47" t="n">
        <f aca="false">IF(K9="","",K9/24*100)</f>
        <v>62.5</v>
      </c>
      <c r="AB9" s="47" t="n">
        <f aca="false">IF(L9="","",L9/3*100)</f>
        <v>73.3333333333333</v>
      </c>
      <c r="AC9" s="47" t="n">
        <f aca="false">IF(OR(M9="",AND(N9&lt;&gt;"",N(N9)&lt;Parámetros!$B$15)),"",MAX(0,MIN(100,(M9-1)/4*100)))</f>
        <v>67.5</v>
      </c>
      <c r="AD9" s="47" t="n">
        <f aca="false">IF(OR(P9="",N(Q9)=0),"",MAX(0,MIN(100,((Q9/(Q9+Parámetros!$B$16))*P9+(Parámetros!$B$16/(Q9+Parámetros!$B$16))*Parámetros!$B$17-0.1)/0.4*100)))</f>
        <v>63.0128205128205</v>
      </c>
      <c r="AE9" s="47" t="str">
        <f aca="false">IF(N(R9)&gt;0,MIN(100,S9/R9*100),"")</f>
        <v/>
      </c>
      <c r="AF9" s="47" t="n">
        <f aca="false">IF(N(U9)&gt;0,MIN(100,T9/(U9*5)*100),"")</f>
        <v>80</v>
      </c>
      <c r="AG9" s="47" t="n">
        <f aca="false">IF(OR(V9="",N(W9)&lt;10),"",(V9-1)/4*100)</f>
        <v>77.5</v>
      </c>
      <c r="AH9" s="47" t="n">
        <f aca="false">IF($C9="","",COUNT(X9:AG9))</f>
        <v>9</v>
      </c>
      <c r="AI9" s="47" t="n">
        <f aca="false">IF(OR($C9="",N(AH9)&lt;Parámetros!$B$18),"",(IF(ISNUMBER(X9),X9*Parámetros!$B$2,0)+IF(ISNUMBER(Y9),Y9*Parámetros!$B$3,0)+IF(ISNUMBER(Z9),Z9*Parámetros!$B$4,0)+IF(ISNUMBER(AA9),AA9*Parámetros!$B$5,0)+IF(ISNUMBER(AB9),AB9*Parámetros!$B$6,0)+IF(ISNUMBER(AC9),AC9*Parámetros!$B$7,0)+IF(ISNUMBER(AD9),AD9*Parámetros!$B$8,0)+IF(ISNUMBER(AE9),AE9*Parámetros!$B$9,0)+IF(ISNUMBER(AF9),AF9*Parámetros!$B$10,0)+IF(ISNUMBER(AG9),AG9*Parámetros!$B$11,0))/(IF(ISNUMBER(X9),Parámetros!$B$2,0)+IF(ISNUMBER(Y9),Parámetros!$B$3,0)+IF(ISNUMBER(Z9),Parámetros!$B$4,0)+IF(ISNUMBER(AA9),Parámetros!$B$5,0)+IF(ISNUMBER(AB9),Parámetros!$B$6,0)+IF(ISNUMBER(AC9),Parámetros!$B$7,0)+IF(ISNUMBER(AD9),Parámetros!$B$8,0)+IF(ISNUMBER(AE9),Parámetros!$B$9,0)+IF(ISNUMBER(AF9),Parámetros!$B$10,0)+IF(ISNUMBER(AG9),Parámetros!$B$11,0)))</f>
        <v>71.3817663817664</v>
      </c>
      <c r="AJ9" s="47" t="n">
        <f aca="false">IF(AND(ISNUMBER(Y9),N(Y9)&lt;60),69.9,IF(OR(AND(ISNUMBER(AE9),N(AE9)&lt;80),AND(ISNUMBER(AC9),N(AC9)&lt;50,N(O9)&gt;=2)),84.9,100))</f>
        <v>100</v>
      </c>
      <c r="AK9" s="47" t="n">
        <f aca="false">IF(AI9="","",MIN(AI9,AJ9))</f>
        <v>71.3817663817664</v>
      </c>
      <c r="AL9" s="47" t="str">
        <f aca="false">IF($C9="","",IF(AK9="","Gris — menos de 3 fuentes",IF(AND(AK9&lt;Parámetros!$B$14,N9&lt;&gt;"",N(N9)&lt;Parámetros!$B$15,N(Y9)&gt;=60),"Gris — repetir observación",IF(AK9&gt;=Parámetros!$B$13,"Verde",IF(AK9&gt;=Parámetros!$B$14,"Amarillo","Rojo")))))</f>
        <v>Amarillo</v>
      </c>
      <c r="AM9" s="47" t="str">
        <f aca="false">IF($C9="","",IF(AND(ISNUMBER(Y9),N(Y9)&lt;60),"Ejecución &lt; 60 %: rojo automático",IF(AND(ISNUMBER(AE9),N(AE9)&lt;80),"PIAR &lt; 80 %: máximo amarillo",IF(AND(ISNUMBER(AC9),N(AC9)&lt;50,N(O9)&gt;=2),"Observación &lt; 50: máximo amarillo",IF(AND(N9&lt;&gt;"",N(N9)&lt;Parámetros!$B$15),"κ &lt; 0,60: observación descartada, repetir","")))))</f>
        <v/>
      </c>
    </row>
    <row r="10" customFormat="false" ht="15" hidden="false" customHeight="false" outlineLevel="0" collapsed="false">
      <c r="A10" s="46" t="n">
        <v>2027</v>
      </c>
      <c r="B10" s="46" t="n">
        <v>2</v>
      </c>
      <c r="C10" s="46" t="s">
        <v>141</v>
      </c>
      <c r="D10" s="46" t="s">
        <v>142</v>
      </c>
      <c r="E10" s="46" t="n">
        <v>10</v>
      </c>
      <c r="F10" s="46" t="n">
        <v>10</v>
      </c>
      <c r="G10" s="46" t="n">
        <v>10</v>
      </c>
      <c r="H10" s="46" t="n">
        <v>10</v>
      </c>
      <c r="I10" s="46" t="n">
        <v>6</v>
      </c>
      <c r="J10" s="46" t="n">
        <v>6</v>
      </c>
      <c r="K10" s="46" t="n">
        <v>23</v>
      </c>
      <c r="L10" s="46" t="n">
        <v>2.8</v>
      </c>
      <c r="M10" s="46" t="n">
        <v>4.5</v>
      </c>
      <c r="N10" s="46" t="n">
        <v>0.91</v>
      </c>
      <c r="O10" s="46" t="n">
        <v>2</v>
      </c>
      <c r="P10" s="46" t="n">
        <v>0.54</v>
      </c>
      <c r="Q10" s="46" t="n">
        <v>21</v>
      </c>
      <c r="R10" s="46" t="n">
        <v>6</v>
      </c>
      <c r="S10" s="46" t="n">
        <v>6</v>
      </c>
      <c r="T10" s="46" t="n">
        <v>5</v>
      </c>
      <c r="U10" s="46" t="n">
        <v>1</v>
      </c>
      <c r="V10" s="46"/>
      <c r="W10" s="46"/>
      <c r="X10" s="47" t="n">
        <f aca="false">IF(N(E10)&gt;0,MIN(100,F10/E10*100),"")</f>
        <v>100</v>
      </c>
      <c r="Y10" s="47" t="n">
        <f aca="false">IF(N(G10)&gt;0,MIN(100,H10/G10*100),"")</f>
        <v>100</v>
      </c>
      <c r="Z10" s="47" t="n">
        <f aca="false">IF(N(I10)&gt;0,MIN(100,J10/I10*100),"")</f>
        <v>100</v>
      </c>
      <c r="AA10" s="47" t="n">
        <f aca="false">IF(K10="","",K10/24*100)</f>
        <v>95.8333333333333</v>
      </c>
      <c r="AB10" s="47" t="n">
        <f aca="false">IF(L10="","",L10/3*100)</f>
        <v>93.3333333333333</v>
      </c>
      <c r="AC10" s="47" t="n">
        <f aca="false">IF(OR(M10="",AND(N10&lt;&gt;"",N(N10)&lt;Parámetros!$B$15)),"",MAX(0,MIN(100,(M10-1)/4*100)))</f>
        <v>87.5</v>
      </c>
      <c r="AD10" s="47" t="n">
        <f aca="false">IF(OR(P10="",N(Q10)=0),"",MAX(0,MIN(100,((Q10/(Q10+Parámetros!$B$16))*P10+(Parámetros!$B$16/(Q10+Parámetros!$B$16))*Parámetros!$B$17-0.1)/0.4*100)))</f>
        <v>90.6451612903226</v>
      </c>
      <c r="AE10" s="47" t="n">
        <f aca="false">IF(N(R10)&gt;0,MIN(100,S10/R10*100),"")</f>
        <v>100</v>
      </c>
      <c r="AF10" s="47" t="n">
        <f aca="false">IF(N(U10)&gt;0,MIN(100,T10/(U10*5)*100),"")</f>
        <v>100</v>
      </c>
      <c r="AG10" s="47" t="str">
        <f aca="false">IF(OR(V10="",N(W10)&lt;10),"",(V10-1)/4*100)</f>
        <v/>
      </c>
      <c r="AH10" s="47" t="n">
        <f aca="false">IF($C10="","",COUNT(X10:AG10))</f>
        <v>9</v>
      </c>
      <c r="AI10" s="47" t="n">
        <f aca="false">IF(OR($C10="",N(AH10)&lt;Parámetros!$B$18),"",(IF(ISNUMBER(X10),X10*Parámetros!$B$2,0)+IF(ISNUMBER(Y10),Y10*Parámetros!$B$3,0)+IF(ISNUMBER(Z10),Z10*Parámetros!$B$4,0)+IF(ISNUMBER(AA10),AA10*Parámetros!$B$5,0)+IF(ISNUMBER(AB10),AB10*Parámetros!$B$6,0)+IF(ISNUMBER(AC10),AC10*Parámetros!$B$7,0)+IF(ISNUMBER(AD10),AD10*Parámetros!$B$8,0)+IF(ISNUMBER(AE10),AE10*Parámetros!$B$9,0)+IF(ISNUMBER(AF10),AF10*Parámetros!$B$10,0)+IF(ISNUMBER(AG10),AG10*Parámetros!$B$11,0))/(IF(ISNUMBER(X10),Parámetros!$B$2,0)+IF(ISNUMBER(Y10),Parámetros!$B$3,0)+IF(ISNUMBER(Z10),Parámetros!$B$4,0)+IF(ISNUMBER(AA10),Parámetros!$B$5,0)+IF(ISNUMBER(AB10),Parámetros!$B$6,0)+IF(ISNUMBER(AC10),Parámetros!$B$7,0)+IF(ISNUMBER(AD10),Parámetros!$B$8,0)+IF(ISNUMBER(AE10),Parámetros!$B$9,0)+IF(ISNUMBER(AF10),Parámetros!$B$10,0)+IF(ISNUMBER(AG10),Parámetros!$B$11,0)))</f>
        <v>94.7509903791737</v>
      </c>
      <c r="AJ10" s="47" t="n">
        <f aca="false">IF(AND(ISNUMBER(Y10),N(Y10)&lt;60),69.9,IF(OR(AND(ISNUMBER(AE10),N(AE10)&lt;80),AND(ISNUMBER(AC10),N(AC10)&lt;50,N(O10)&gt;=2)),84.9,100))</f>
        <v>100</v>
      </c>
      <c r="AK10" s="47" t="n">
        <f aca="false">IF(AI10="","",MIN(AI10,AJ10))</f>
        <v>94.7509903791737</v>
      </c>
      <c r="AL10" s="47" t="str">
        <f aca="false">IF($C10="","",IF(AK10="","Gris — menos de 3 fuentes",IF(AND(AK10&lt;Parámetros!$B$14,N10&lt;&gt;"",N(N10)&lt;Parámetros!$B$15,N(Y10)&gt;=60),"Gris — repetir observación",IF(AK10&gt;=Parámetros!$B$13,"Verde",IF(AK10&gt;=Parámetros!$B$14,"Amarillo","Rojo")))))</f>
        <v>Verde</v>
      </c>
      <c r="AM10" s="47" t="str">
        <f aca="false">IF($C10="","",IF(AND(ISNUMBER(Y10),N(Y10)&lt;60),"Ejecución &lt; 60 %: rojo automático",IF(AND(ISNUMBER(AE10),N(AE10)&lt;80),"PIAR &lt; 80 %: máximo amarillo",IF(AND(ISNUMBER(AC10),N(AC10)&lt;50,N(O10)&gt;=2),"Observación &lt; 50: máximo amarillo",IF(AND(N10&lt;&gt;"",N(N10)&lt;Parámetros!$B$15),"κ &lt; 0,60: observación descartada, repetir","")))))</f>
        <v/>
      </c>
    </row>
    <row r="11" customFormat="false" ht="15" hidden="false" customHeight="false" outlineLevel="0" collapsed="false">
      <c r="A11" s="46" t="n">
        <v>2027</v>
      </c>
      <c r="B11" s="46" t="n">
        <v>2</v>
      </c>
      <c r="C11" s="46" t="s">
        <v>143</v>
      </c>
      <c r="D11" s="46" t="s">
        <v>144</v>
      </c>
      <c r="E11" s="46" t="n">
        <v>10</v>
      </c>
      <c r="F11" s="46" t="n">
        <v>9</v>
      </c>
      <c r="G11" s="46" t="n">
        <v>10</v>
      </c>
      <c r="H11" s="46" t="n">
        <v>9</v>
      </c>
      <c r="I11" s="46" t="n">
        <v>6</v>
      </c>
      <c r="J11" s="46" t="n">
        <v>5</v>
      </c>
      <c r="K11" s="46" t="n">
        <v>19</v>
      </c>
      <c r="L11" s="46" t="n">
        <v>2.3</v>
      </c>
      <c r="M11" s="46" t="n">
        <v>4.4</v>
      </c>
      <c r="N11" s="46" t="n">
        <v>0.89</v>
      </c>
      <c r="O11" s="46" t="n">
        <v>2</v>
      </c>
      <c r="P11" s="46" t="n">
        <v>0.48</v>
      </c>
      <c r="Q11" s="46" t="n">
        <v>26</v>
      </c>
      <c r="R11" s="46"/>
      <c r="S11" s="46"/>
      <c r="T11" s="46" t="n">
        <v>4</v>
      </c>
      <c r="U11" s="46" t="n">
        <v>1</v>
      </c>
      <c r="V11" s="46"/>
      <c r="W11" s="46"/>
      <c r="X11" s="47" t="n">
        <f aca="false">IF(N(E11)&gt;0,MIN(100,F11/E11*100),"")</f>
        <v>90</v>
      </c>
      <c r="Y11" s="47" t="n">
        <f aca="false">IF(N(G11)&gt;0,MIN(100,H11/G11*100),"")</f>
        <v>90</v>
      </c>
      <c r="Z11" s="47" t="n">
        <f aca="false">IF(N(I11)&gt;0,MIN(100,J11/I11*100),"")</f>
        <v>83.3333333333333</v>
      </c>
      <c r="AA11" s="47" t="n">
        <f aca="false">IF(K11="","",K11/24*100)</f>
        <v>79.1666666666667</v>
      </c>
      <c r="AB11" s="47" t="n">
        <f aca="false">IF(L11="","",L11/3*100)</f>
        <v>76.6666666666667</v>
      </c>
      <c r="AC11" s="47" t="n">
        <f aca="false">IF(OR(M11="",AND(N11&lt;&gt;"",N(N11)&lt;Parámetros!$B$15)),"",MAX(0,MIN(100,(M11-1)/4*100)))</f>
        <v>85</v>
      </c>
      <c r="AD11" s="47" t="n">
        <f aca="false">IF(OR(P11="",N(Q11)=0),"",MAX(0,MIN(100,((Q11/(Q11+Parámetros!$B$16))*P11+(Parámetros!$B$16/(Q11+Parámetros!$B$16))*Parámetros!$B$17-0.1)/0.4*100)))</f>
        <v>82.5</v>
      </c>
      <c r="AE11" s="47" t="str">
        <f aca="false">IF(N(R11)&gt;0,MIN(100,S11/R11*100),"")</f>
        <v/>
      </c>
      <c r="AF11" s="47" t="n">
        <f aca="false">IF(N(U11)&gt;0,MIN(100,T11/(U11*5)*100),"")</f>
        <v>80</v>
      </c>
      <c r="AG11" s="47" t="str">
        <f aca="false">IF(OR(V11="",N(W11)&lt;10),"",(V11-1)/4*100)</f>
        <v/>
      </c>
      <c r="AH11" s="47" t="n">
        <f aca="false">IF($C11="","",COUNT(X11:AG11))</f>
        <v>8</v>
      </c>
      <c r="AI11" s="47" t="n">
        <f aca="false">IF(OR($C11="",N(AH11)&lt;Parámetros!$B$18),"",(IF(ISNUMBER(X11),X11*Parámetros!$B$2,0)+IF(ISNUMBER(Y11),Y11*Parámetros!$B$3,0)+IF(ISNUMBER(Z11),Z11*Parámetros!$B$4,0)+IF(ISNUMBER(AA11),AA11*Parámetros!$B$5,0)+IF(ISNUMBER(AB11),AB11*Parámetros!$B$6,0)+IF(ISNUMBER(AC11),AC11*Parámetros!$B$7,0)+IF(ISNUMBER(AD11),AD11*Parámetros!$B$8,0)+IF(ISNUMBER(AE11),AE11*Parámetros!$B$9,0)+IF(ISNUMBER(AF11),AF11*Parámetros!$B$10,0)+IF(ISNUMBER(AG11),AG11*Parámetros!$B$11,0))/(IF(ISNUMBER(X11),Parámetros!$B$2,0)+IF(ISNUMBER(Y11),Parámetros!$B$3,0)+IF(ISNUMBER(Z11),Parámetros!$B$4,0)+IF(ISNUMBER(AA11),Parámetros!$B$5,0)+IF(ISNUMBER(AB11),Parámetros!$B$6,0)+IF(ISNUMBER(AC11),Parámetros!$B$7,0)+IF(ISNUMBER(AD11),Parámetros!$B$8,0)+IF(ISNUMBER(AE11),Parámetros!$B$9,0)+IF(ISNUMBER(AF11),Parámetros!$B$10,0)+IF(ISNUMBER(AG11),Parámetros!$B$11,0)))</f>
        <v>83.2843137254902</v>
      </c>
      <c r="AJ11" s="47" t="n">
        <f aca="false">IF(AND(ISNUMBER(Y11),N(Y11)&lt;60),69.9,IF(OR(AND(ISNUMBER(AE11),N(AE11)&lt;80),AND(ISNUMBER(AC11),N(AC11)&lt;50,N(O11)&gt;=2)),84.9,100))</f>
        <v>100</v>
      </c>
      <c r="AK11" s="47" t="n">
        <f aca="false">IF(AI11="","",MIN(AI11,AJ11))</f>
        <v>83.2843137254902</v>
      </c>
      <c r="AL11" s="47" t="str">
        <f aca="false">IF($C11="","",IF(AK11="","Gris — menos de 3 fuentes",IF(AND(AK11&lt;Parámetros!$B$14,N11&lt;&gt;"",N(N11)&lt;Parámetros!$B$15,N(Y11)&gt;=60),"Gris — repetir observación",IF(AK11&gt;=Parámetros!$B$13,"Verde",IF(AK11&gt;=Parámetros!$B$14,"Amarillo","Rojo")))))</f>
        <v>Amarillo</v>
      </c>
      <c r="AM11" s="47" t="str">
        <f aca="false">IF($C11="","",IF(AND(ISNUMBER(Y11),N(Y11)&lt;60),"Ejecución &lt; 60 %: rojo automático",IF(AND(ISNUMBER(AE11),N(AE11)&lt;80),"PIAR &lt; 80 %: máximo amarillo",IF(AND(ISNUMBER(AC11),N(AC11)&lt;50,N(O11)&gt;=2),"Observación &lt; 50: máximo amarillo",IF(AND(N11&lt;&gt;"",N(N11)&lt;Parámetros!$B$15),"κ &lt; 0,60: observación descartada, repetir","")))))</f>
        <v/>
      </c>
    </row>
    <row r="12" customFormat="false" ht="15" hidden="false" customHeight="false" outlineLevel="0" collapsed="false">
      <c r="A12" s="46" t="n">
        <v>2027</v>
      </c>
      <c r="B12" s="46" t="n">
        <v>2</v>
      </c>
      <c r="C12" s="46" t="s">
        <v>145</v>
      </c>
      <c r="D12" s="46" t="s">
        <v>146</v>
      </c>
      <c r="E12" s="46" t="n">
        <v>10</v>
      </c>
      <c r="F12" s="46" t="n">
        <v>7</v>
      </c>
      <c r="G12" s="46" t="n">
        <v>10</v>
      </c>
      <c r="H12" s="46" t="n">
        <v>7</v>
      </c>
      <c r="I12" s="46" t="n">
        <v>6</v>
      </c>
      <c r="J12" s="46" t="n">
        <v>5</v>
      </c>
      <c r="K12" s="46" t="n">
        <v>15</v>
      </c>
      <c r="L12" s="46" t="n">
        <v>2</v>
      </c>
      <c r="M12" s="46" t="n">
        <v>3.5</v>
      </c>
      <c r="N12" s="46" t="n">
        <v>0.67</v>
      </c>
      <c r="O12" s="46" t="n">
        <v>2</v>
      </c>
      <c r="P12" s="46" t="n">
        <v>0.33</v>
      </c>
      <c r="Q12" s="46" t="n">
        <v>22</v>
      </c>
      <c r="R12" s="46"/>
      <c r="S12" s="46"/>
      <c r="T12" s="46" t="n">
        <v>4</v>
      </c>
      <c r="U12" s="46" t="n">
        <v>1</v>
      </c>
      <c r="V12" s="46"/>
      <c r="W12" s="46"/>
      <c r="X12" s="47" t="n">
        <f aca="false">IF(N(E12)&gt;0,MIN(100,F12/E12*100),"")</f>
        <v>70</v>
      </c>
      <c r="Y12" s="47" t="n">
        <f aca="false">IF(N(G12)&gt;0,MIN(100,H12/G12*100),"")</f>
        <v>70</v>
      </c>
      <c r="Z12" s="47" t="n">
        <f aca="false">IF(N(I12)&gt;0,MIN(100,J12/I12*100),"")</f>
        <v>83.3333333333333</v>
      </c>
      <c r="AA12" s="47" t="n">
        <f aca="false">IF(K12="","",K12/24*100)</f>
        <v>62.5</v>
      </c>
      <c r="AB12" s="47" t="n">
        <f aca="false">IF(L12="","",L12/3*100)</f>
        <v>66.6666666666667</v>
      </c>
      <c r="AC12" s="47" t="n">
        <f aca="false">IF(OR(M12="",AND(N12&lt;&gt;"",N(N12)&lt;Parámetros!$B$15)),"",MAX(0,MIN(100,(M12-1)/4*100)))</f>
        <v>62.5</v>
      </c>
      <c r="AD12" s="47" t="n">
        <f aca="false">IF(OR(P12="",N(Q12)=0),"",MAX(0,MIN(100,((Q12/(Q12+Parámetros!$B$16))*P12+(Parámetros!$B$16/(Q12+Parámetros!$B$16))*Parámetros!$B$17-0.1)/0.4*100)))</f>
        <v>55.15625</v>
      </c>
      <c r="AE12" s="47" t="str">
        <f aca="false">IF(N(R12)&gt;0,MIN(100,S12/R12*100),"")</f>
        <v/>
      </c>
      <c r="AF12" s="47" t="n">
        <f aca="false">IF(N(U12)&gt;0,MIN(100,T12/(U12*5)*100),"")</f>
        <v>80</v>
      </c>
      <c r="AG12" s="47" t="str">
        <f aca="false">IF(OR(V12="",N(W12)&lt;10),"",(V12-1)/4*100)</f>
        <v/>
      </c>
      <c r="AH12" s="47" t="n">
        <f aca="false">IF($C12="","",COUNT(X12:AG12))</f>
        <v>8</v>
      </c>
      <c r="AI12" s="47" t="n">
        <f aca="false">IF(OR($C12="",N(AH12)&lt;Parámetros!$B$18),"",(IF(ISNUMBER(X12),X12*Parámetros!$B$2,0)+IF(ISNUMBER(Y12),Y12*Parámetros!$B$3,0)+IF(ISNUMBER(Z12),Z12*Parámetros!$B$4,0)+IF(ISNUMBER(AA12),AA12*Parámetros!$B$5,0)+IF(ISNUMBER(AB12),AB12*Parámetros!$B$6,0)+IF(ISNUMBER(AC12),AC12*Parámetros!$B$7,0)+IF(ISNUMBER(AD12),AD12*Parámetros!$B$8,0)+IF(ISNUMBER(AE12),AE12*Parámetros!$B$9,0)+IF(ISNUMBER(AF12),AF12*Parámetros!$B$10,0)+IF(ISNUMBER(AG12),AG12*Parámetros!$B$11,0))/(IF(ISNUMBER(X12),Parámetros!$B$2,0)+IF(ISNUMBER(Y12),Parámetros!$B$3,0)+IF(ISNUMBER(Z12),Parámetros!$B$4,0)+IF(ISNUMBER(AA12),Parámetros!$B$5,0)+IF(ISNUMBER(AB12),Parámetros!$B$6,0)+IF(ISNUMBER(AC12),Parámetros!$B$7,0)+IF(ISNUMBER(AD12),Parámetros!$B$8,0)+IF(ISNUMBER(AE12),Parámetros!$B$9,0)+IF(ISNUMBER(AF12),Parámetros!$B$10,0)+IF(ISNUMBER(AG12),Parámetros!$B$11,0)))</f>
        <v>66.4981617647059</v>
      </c>
      <c r="AJ12" s="47" t="n">
        <f aca="false">IF(AND(ISNUMBER(Y12),N(Y12)&lt;60),69.9,IF(OR(AND(ISNUMBER(AE12),N(AE12)&lt;80),AND(ISNUMBER(AC12),N(AC12)&lt;50,N(O12)&gt;=2)),84.9,100))</f>
        <v>100</v>
      </c>
      <c r="AK12" s="47" t="n">
        <f aca="false">IF(AI12="","",MIN(AI12,AJ12))</f>
        <v>66.4981617647059</v>
      </c>
      <c r="AL12" s="47" t="str">
        <f aca="false">IF($C12="","",IF(AK12="","Gris — menos de 3 fuentes",IF(AND(AK12&lt;Parámetros!$B$14,N12&lt;&gt;"",N(N12)&lt;Parámetros!$B$15,N(Y12)&gt;=60),"Gris — repetir observación",IF(AK12&gt;=Parámetros!$B$13,"Verde",IF(AK12&gt;=Parámetros!$B$14,"Amarillo","Rojo")))))</f>
        <v>Rojo</v>
      </c>
      <c r="AM12" s="47" t="str">
        <f aca="false">IF($C12="","",IF(AND(ISNUMBER(Y12),N(Y12)&lt;60),"Ejecución &lt; 60 %: rojo automático",IF(AND(ISNUMBER(AE12),N(AE12)&lt;80),"PIAR &lt; 80 %: máximo amarillo",IF(AND(ISNUMBER(AC12),N(AC12)&lt;50,N(O12)&gt;=2),"Observación &lt; 50: máximo amarillo",IF(AND(N12&lt;&gt;"",N(N12)&lt;Parámetros!$B$15),"κ &lt; 0,60: observación descartada, repetir","")))))</f>
        <v/>
      </c>
    </row>
    <row r="13" customFormat="false" ht="15" hidden="false" customHeight="false" outlineLevel="0" collapsed="false">
      <c r="A13" s="46" t="n">
        <v>2027</v>
      </c>
      <c r="B13" s="46" t="n">
        <v>2</v>
      </c>
      <c r="C13" s="46" t="s">
        <v>147</v>
      </c>
      <c r="D13" s="46" t="s">
        <v>148</v>
      </c>
      <c r="E13" s="46" t="n">
        <v>10</v>
      </c>
      <c r="F13" s="46" t="n">
        <v>10</v>
      </c>
      <c r="G13" s="46" t="n">
        <v>10</v>
      </c>
      <c r="H13" s="46" t="n">
        <v>10</v>
      </c>
      <c r="I13" s="46" t="n">
        <v>6</v>
      </c>
      <c r="J13" s="46" t="n">
        <v>6</v>
      </c>
      <c r="K13" s="46" t="n">
        <v>20</v>
      </c>
      <c r="L13" s="46" t="n">
        <v>2.7</v>
      </c>
      <c r="M13" s="46" t="n">
        <v>4.3</v>
      </c>
      <c r="N13" s="46" t="n">
        <v>0.83</v>
      </c>
      <c r="O13" s="46" t="n">
        <v>2</v>
      </c>
      <c r="P13" s="46" t="n">
        <v>0.51</v>
      </c>
      <c r="Q13" s="46" t="n">
        <v>29</v>
      </c>
      <c r="R13" s="46" t="n">
        <v>6</v>
      </c>
      <c r="S13" s="46" t="n">
        <v>6</v>
      </c>
      <c r="T13" s="46" t="n">
        <v>5</v>
      </c>
      <c r="U13" s="46" t="n">
        <v>1</v>
      </c>
      <c r="V13" s="46"/>
      <c r="W13" s="46"/>
      <c r="X13" s="47" t="n">
        <f aca="false">IF(N(E13)&gt;0,MIN(100,F13/E13*100),"")</f>
        <v>100</v>
      </c>
      <c r="Y13" s="47" t="n">
        <f aca="false">IF(N(G13)&gt;0,MIN(100,H13/G13*100),"")</f>
        <v>100</v>
      </c>
      <c r="Z13" s="47" t="n">
        <f aca="false">IF(N(I13)&gt;0,MIN(100,J13/I13*100),"")</f>
        <v>100</v>
      </c>
      <c r="AA13" s="47" t="n">
        <f aca="false">IF(K13="","",K13/24*100)</f>
        <v>83.3333333333333</v>
      </c>
      <c r="AB13" s="47" t="n">
        <f aca="false">IF(L13="","",L13/3*100)</f>
        <v>90</v>
      </c>
      <c r="AC13" s="47" t="n">
        <f aca="false">IF(OR(M13="",AND(N13&lt;&gt;"",N(N13)&lt;Parámetros!$B$15)),"",MAX(0,MIN(100,(M13-1)/4*100)))</f>
        <v>82.5</v>
      </c>
      <c r="AD13" s="47" t="n">
        <f aca="false">IF(OR(P13="",N(Q13)=0),"",MAX(0,MIN(100,((Q13/(Q13+Parámetros!$B$16))*P13+(Parámetros!$B$16/(Q13+Parámetros!$B$16))*Parámetros!$B$17-0.1)/0.4*100)))</f>
        <v>89.0384615384615</v>
      </c>
      <c r="AE13" s="47" t="n">
        <f aca="false">IF(N(R13)&gt;0,MIN(100,S13/R13*100),"")</f>
        <v>100</v>
      </c>
      <c r="AF13" s="47" t="n">
        <f aca="false">IF(N(U13)&gt;0,MIN(100,T13/(U13*5)*100),"")</f>
        <v>100</v>
      </c>
      <c r="AG13" s="47" t="str">
        <f aca="false">IF(OR(V13="",N(W13)&lt;10),"",(V13-1)/4*100)</f>
        <v/>
      </c>
      <c r="AH13" s="47" t="n">
        <f aca="false">IF($C13="","",COUNT(X13:AG13))</f>
        <v>9</v>
      </c>
      <c r="AI13" s="47" t="n">
        <f aca="false">IF(OR($C13="",N(AH13)&lt;Parámetros!$B$18),"",(IF(ISNUMBER(X13),X13*Parámetros!$B$2,0)+IF(ISNUMBER(Y13),Y13*Parámetros!$B$3,0)+IF(ISNUMBER(Z13),Z13*Parámetros!$B$4,0)+IF(ISNUMBER(AA13),AA13*Parámetros!$B$5,0)+IF(ISNUMBER(AB13),AB13*Parámetros!$B$6,0)+IF(ISNUMBER(AC13),AC13*Parámetros!$B$7,0)+IF(ISNUMBER(AD13),AD13*Parámetros!$B$8,0)+IF(ISNUMBER(AE13),AE13*Parámetros!$B$9,0)+IF(ISNUMBER(AF13),AF13*Parámetros!$B$10,0)+IF(ISNUMBER(AG13),AG13*Parámetros!$B$11,0))/(IF(ISNUMBER(X13),Parámetros!$B$2,0)+IF(ISNUMBER(Y13),Parámetros!$B$3,0)+IF(ISNUMBER(Z13),Parámetros!$B$4,0)+IF(ISNUMBER(AA13),Parámetros!$B$5,0)+IF(ISNUMBER(AB13),Parámetros!$B$6,0)+IF(ISNUMBER(AC13),Parámetros!$B$7,0)+IF(ISNUMBER(AD13),Parámetros!$B$8,0)+IF(ISNUMBER(AE13),Parámetros!$B$9,0)+IF(ISNUMBER(AF13),Parámetros!$B$10,0)+IF(ISNUMBER(AG13),Parámetros!$B$11,0)))</f>
        <v>91.7780026990553</v>
      </c>
      <c r="AJ13" s="47" t="n">
        <f aca="false">IF(AND(ISNUMBER(Y13),N(Y13)&lt;60),69.9,IF(OR(AND(ISNUMBER(AE13),N(AE13)&lt;80),AND(ISNUMBER(AC13),N(AC13)&lt;50,N(O13)&gt;=2)),84.9,100))</f>
        <v>100</v>
      </c>
      <c r="AK13" s="47" t="n">
        <f aca="false">IF(AI13="","",MIN(AI13,AJ13))</f>
        <v>91.7780026990553</v>
      </c>
      <c r="AL13" s="47" t="str">
        <f aca="false">IF($C13="","",IF(AK13="","Gris — menos de 3 fuentes",IF(AND(AK13&lt;Parámetros!$B$14,N13&lt;&gt;"",N(N13)&lt;Parámetros!$B$15,N(Y13)&gt;=60),"Gris — repetir observación",IF(AK13&gt;=Parámetros!$B$13,"Verde",IF(AK13&gt;=Parámetros!$B$14,"Amarillo","Rojo")))))</f>
        <v>Verde</v>
      </c>
      <c r="AM13" s="47" t="str">
        <f aca="false">IF($C13="","",IF(AND(ISNUMBER(Y13),N(Y13)&lt;60),"Ejecución &lt; 60 %: rojo automático",IF(AND(ISNUMBER(AE13),N(AE13)&lt;80),"PIAR &lt; 80 %: máximo amarillo",IF(AND(ISNUMBER(AC13),N(AC13)&lt;50,N(O13)&gt;=2),"Observación &lt; 50: máximo amarillo",IF(AND(N13&lt;&gt;"",N(N13)&lt;Parámetros!$B$15),"κ &lt; 0,60: observación descartada, repetir","")))))</f>
        <v/>
      </c>
    </row>
    <row r="14" customFormat="false" ht="15" hidden="false" customHeight="false" outlineLevel="0" collapsed="false">
      <c r="A14" s="46" t="n">
        <v>2027</v>
      </c>
      <c r="B14" s="46" t="n">
        <v>2</v>
      </c>
      <c r="C14" s="46" t="s">
        <v>149</v>
      </c>
      <c r="D14" s="46" t="s">
        <v>150</v>
      </c>
      <c r="E14" s="46" t="n">
        <v>10</v>
      </c>
      <c r="F14" s="46" t="n">
        <v>8</v>
      </c>
      <c r="G14" s="46" t="n">
        <v>10</v>
      </c>
      <c r="H14" s="46" t="n">
        <v>9</v>
      </c>
      <c r="I14" s="46" t="n">
        <v>6</v>
      </c>
      <c r="J14" s="46" t="n">
        <v>5</v>
      </c>
      <c r="K14" s="46" t="n">
        <v>16</v>
      </c>
      <c r="L14" s="46" t="n">
        <v>2</v>
      </c>
      <c r="M14" s="46" t="n">
        <v>3.7</v>
      </c>
      <c r="N14" s="46" t="n">
        <v>0.77</v>
      </c>
      <c r="O14" s="46" t="n">
        <v>2</v>
      </c>
      <c r="P14" s="46" t="n">
        <v>0.35</v>
      </c>
      <c r="Q14" s="46" t="n">
        <v>20</v>
      </c>
      <c r="R14" s="46"/>
      <c r="S14" s="46"/>
      <c r="T14" s="46" t="n">
        <v>4</v>
      </c>
      <c r="U14" s="46" t="n">
        <v>1</v>
      </c>
      <c r="V14" s="46"/>
      <c r="W14" s="46"/>
      <c r="X14" s="47" t="n">
        <f aca="false">IF(N(E14)&gt;0,MIN(100,F14/E14*100),"")</f>
        <v>80</v>
      </c>
      <c r="Y14" s="47" t="n">
        <f aca="false">IF(N(G14)&gt;0,MIN(100,H14/G14*100),"")</f>
        <v>90</v>
      </c>
      <c r="Z14" s="47" t="n">
        <f aca="false">IF(N(I14)&gt;0,MIN(100,J14/I14*100),"")</f>
        <v>83.3333333333333</v>
      </c>
      <c r="AA14" s="47" t="n">
        <f aca="false">IF(K14="","",K14/24*100)</f>
        <v>66.6666666666667</v>
      </c>
      <c r="AB14" s="47" t="n">
        <f aca="false">IF(L14="","",L14/3*100)</f>
        <v>66.6666666666667</v>
      </c>
      <c r="AC14" s="47" t="n">
        <f aca="false">IF(OR(M14="",AND(N14&lt;&gt;"",N(N14)&lt;Parámetros!$B$15)),"",MAX(0,MIN(100,(M14-1)/4*100)))</f>
        <v>67.5</v>
      </c>
      <c r="AD14" s="47" t="n">
        <f aca="false">IF(OR(P14="",N(Q14)=0),"",MAX(0,MIN(100,((Q14/(Q14+Parámetros!$B$16))*P14+(Parámetros!$B$16/(Q14+Parámetros!$B$16))*Parámetros!$B$17-0.1)/0.4*100)))</f>
        <v>58.3333333333333</v>
      </c>
      <c r="AE14" s="47" t="str">
        <f aca="false">IF(N(R14)&gt;0,MIN(100,S14/R14*100),"")</f>
        <v/>
      </c>
      <c r="AF14" s="47" t="n">
        <f aca="false">IF(N(U14)&gt;0,MIN(100,T14/(U14*5)*100),"")</f>
        <v>80</v>
      </c>
      <c r="AG14" s="47" t="str">
        <f aca="false">IF(OR(V14="",N(W14)&lt;10),"",(V14-1)/4*100)</f>
        <v/>
      </c>
      <c r="AH14" s="47" t="n">
        <f aca="false">IF($C14="","",COUNT(X14:AG14))</f>
        <v>8</v>
      </c>
      <c r="AI14" s="47" t="n">
        <f aca="false">IF(OR($C14="",N(AH14)&lt;Parámetros!$B$18),"",(IF(ISNUMBER(X14),X14*Parámetros!$B$2,0)+IF(ISNUMBER(Y14),Y14*Parámetros!$B$3,0)+IF(ISNUMBER(Z14),Z14*Parámetros!$B$4,0)+IF(ISNUMBER(AA14),AA14*Parámetros!$B$5,0)+IF(ISNUMBER(AB14),AB14*Parámetros!$B$6,0)+IF(ISNUMBER(AC14),AC14*Parámetros!$B$7,0)+IF(ISNUMBER(AD14),AD14*Parámetros!$B$8,0)+IF(ISNUMBER(AE14),AE14*Parámetros!$B$9,0)+IF(ISNUMBER(AF14),AF14*Parámetros!$B$10,0)+IF(ISNUMBER(AG14),AG14*Parámetros!$B$11,0))/(IF(ISNUMBER(X14),Parámetros!$B$2,0)+IF(ISNUMBER(Y14),Parámetros!$B$3,0)+IF(ISNUMBER(Z14),Parámetros!$B$4,0)+IF(ISNUMBER(AA14),Parámetros!$B$5,0)+IF(ISNUMBER(AB14),Parámetros!$B$6,0)+IF(ISNUMBER(AC14),Parámetros!$B$7,0)+IF(ISNUMBER(AD14),Parámetros!$B$8,0)+IF(ISNUMBER(AE14),Parámetros!$B$9,0)+IF(ISNUMBER(AF14),Parámetros!$B$10,0)+IF(ISNUMBER(AG14),Parámetros!$B$11,0)))</f>
        <v>71.6666666666667</v>
      </c>
      <c r="AJ14" s="47" t="n">
        <f aca="false">IF(AND(ISNUMBER(Y14),N(Y14)&lt;60),69.9,IF(OR(AND(ISNUMBER(AE14),N(AE14)&lt;80),AND(ISNUMBER(AC14),N(AC14)&lt;50,N(O14)&gt;=2)),84.9,100))</f>
        <v>100</v>
      </c>
      <c r="AK14" s="47" t="n">
        <f aca="false">IF(AI14="","",MIN(AI14,AJ14))</f>
        <v>71.6666666666667</v>
      </c>
      <c r="AL14" s="47" t="str">
        <f aca="false">IF($C14="","",IF(AK14="","Gris — menos de 3 fuentes",IF(AND(AK14&lt;Parámetros!$B$14,N14&lt;&gt;"",N(N14)&lt;Parámetros!$B$15,N(Y14)&gt;=60),"Gris — repetir observación",IF(AK14&gt;=Parámetros!$B$13,"Verde",IF(AK14&gt;=Parámetros!$B$14,"Amarillo","Rojo")))))</f>
        <v>Amarillo</v>
      </c>
      <c r="AM14" s="47" t="str">
        <f aca="false">IF($C14="","",IF(AND(ISNUMBER(Y14),N(Y14)&lt;60),"Ejecución &lt; 60 %: rojo automático",IF(AND(ISNUMBER(AE14),N(AE14)&lt;80),"PIAR &lt; 80 %: máximo amarillo",IF(AND(ISNUMBER(AC14),N(AC14)&lt;50,N(O14)&gt;=2),"Observación &lt; 50: máximo amarillo",IF(AND(N14&lt;&gt;"",N(N14)&lt;Parámetros!$B$15),"κ &lt; 0,60: observación descartada, repetir","")))))</f>
        <v/>
      </c>
    </row>
    <row r="15" customFormat="false" ht="15" hidden="false" customHeight="false" outlineLevel="0" collapsed="false">
      <c r="A15" s="46" t="n">
        <v>2027</v>
      </c>
      <c r="B15" s="46" t="n">
        <v>2</v>
      </c>
      <c r="C15" s="46" t="s">
        <v>151</v>
      </c>
      <c r="D15" s="46" t="s">
        <v>152</v>
      </c>
      <c r="E15" s="46" t="n">
        <v>10</v>
      </c>
      <c r="F15" s="46" t="n">
        <v>6</v>
      </c>
      <c r="G15" s="46" t="n">
        <v>10</v>
      </c>
      <c r="H15" s="46" t="n">
        <v>6</v>
      </c>
      <c r="I15" s="46" t="n">
        <v>6</v>
      </c>
      <c r="J15" s="46" t="n">
        <v>3</v>
      </c>
      <c r="K15" s="46" t="n">
        <v>12</v>
      </c>
      <c r="L15" s="46" t="n">
        <v>1.3</v>
      </c>
      <c r="M15" s="46" t="n">
        <v>3.2</v>
      </c>
      <c r="N15" s="46" t="n">
        <v>0.7</v>
      </c>
      <c r="O15" s="46" t="n">
        <v>2</v>
      </c>
      <c r="P15" s="46" t="n">
        <v>0.26</v>
      </c>
      <c r="Q15" s="46" t="n">
        <v>21</v>
      </c>
      <c r="R15" s="46"/>
      <c r="S15" s="46"/>
      <c r="T15" s="46" t="n">
        <v>3</v>
      </c>
      <c r="U15" s="46" t="n">
        <v>1</v>
      </c>
      <c r="V15" s="46"/>
      <c r="W15" s="46"/>
      <c r="X15" s="47" t="n">
        <f aca="false">IF(N(E15)&gt;0,MIN(100,F15/E15*100),"")</f>
        <v>60</v>
      </c>
      <c r="Y15" s="47" t="n">
        <f aca="false">IF(N(G15)&gt;0,MIN(100,H15/G15*100),"")</f>
        <v>60</v>
      </c>
      <c r="Z15" s="47" t="n">
        <f aca="false">IF(N(I15)&gt;0,MIN(100,J15/I15*100),"")</f>
        <v>50</v>
      </c>
      <c r="AA15" s="47" t="n">
        <f aca="false">IF(K15="","",K15/24*100)</f>
        <v>50</v>
      </c>
      <c r="AB15" s="47" t="n">
        <f aca="false">IF(L15="","",L15/3*100)</f>
        <v>43.3333333333333</v>
      </c>
      <c r="AC15" s="47" t="n">
        <f aca="false">IF(OR(M15="",AND(N15&lt;&gt;"",N(N15)&lt;Parámetros!$B$15)),"",MAX(0,MIN(100,(M15-1)/4*100)))</f>
        <v>55</v>
      </c>
      <c r="AD15" s="47" t="n">
        <f aca="false">IF(OR(P15="",N(Q15)=0),"",MAX(0,MIN(100,((Q15/(Q15+Parámetros!$B$16))*P15+(Parámetros!$B$16/(Q15+Parámetros!$B$16))*Parámetros!$B$17-0.1)/0.4*100)))</f>
        <v>43.2258064516129</v>
      </c>
      <c r="AE15" s="47" t="str">
        <f aca="false">IF(N(R15)&gt;0,MIN(100,S15/R15*100),"")</f>
        <v/>
      </c>
      <c r="AF15" s="47" t="n">
        <f aca="false">IF(N(U15)&gt;0,MIN(100,T15/(U15*5)*100),"")</f>
        <v>60</v>
      </c>
      <c r="AG15" s="47" t="str">
        <f aca="false">IF(OR(V15="",N(W15)&lt;10),"",(V15-1)/4*100)</f>
        <v/>
      </c>
      <c r="AH15" s="47" t="n">
        <f aca="false">IF($C15="","",COUNT(X15:AG15))</f>
        <v>8</v>
      </c>
      <c r="AI15" s="47" t="n">
        <f aca="false">IF(OR($C15="",N(AH15)&lt;Parámetros!$B$18),"",(IF(ISNUMBER(X15),X15*Parámetros!$B$2,0)+IF(ISNUMBER(Y15),Y15*Parámetros!$B$3,0)+IF(ISNUMBER(Z15),Z15*Parámetros!$B$4,0)+IF(ISNUMBER(AA15),AA15*Parámetros!$B$5,0)+IF(ISNUMBER(AB15),AB15*Parámetros!$B$6,0)+IF(ISNUMBER(AC15),AC15*Parámetros!$B$7,0)+IF(ISNUMBER(AD15),AD15*Parámetros!$B$8,0)+IF(ISNUMBER(AE15),AE15*Parámetros!$B$9,0)+IF(ISNUMBER(AF15),AF15*Parámetros!$B$10,0)+IF(ISNUMBER(AG15),AG15*Parámetros!$B$11,0))/(IF(ISNUMBER(X15),Parámetros!$B$2,0)+IF(ISNUMBER(Y15),Parámetros!$B$3,0)+IF(ISNUMBER(Z15),Parámetros!$B$4,0)+IF(ISNUMBER(AA15),Parámetros!$B$5,0)+IF(ISNUMBER(AB15),Parámetros!$B$6,0)+IF(ISNUMBER(AC15),Parámetros!$B$7,0)+IF(ISNUMBER(AD15),Parámetros!$B$8,0)+IF(ISNUMBER(AE15),Parámetros!$B$9,0)+IF(ISNUMBER(AF15),Parámetros!$B$10,0)+IF(ISNUMBER(AG15),Parámetros!$B$11,0)))</f>
        <v>51.5496521189121</v>
      </c>
      <c r="AJ15" s="47" t="n">
        <f aca="false">IF(AND(ISNUMBER(Y15),N(Y15)&lt;60),69.9,IF(OR(AND(ISNUMBER(AE15),N(AE15)&lt;80),AND(ISNUMBER(AC15),N(AC15)&lt;50,N(O15)&gt;=2)),84.9,100))</f>
        <v>100</v>
      </c>
      <c r="AK15" s="47" t="n">
        <f aca="false">IF(AI15="","",MIN(AI15,AJ15))</f>
        <v>51.5496521189121</v>
      </c>
      <c r="AL15" s="47" t="str">
        <f aca="false">IF($C15="","",IF(AK15="","Gris — menos de 3 fuentes",IF(AND(AK15&lt;Parámetros!$B$14,N15&lt;&gt;"",N(N15)&lt;Parámetros!$B$15,N(Y15)&gt;=60),"Gris — repetir observación",IF(AK15&gt;=Parámetros!$B$13,"Verde",IF(AK15&gt;=Parámetros!$B$14,"Amarillo","Rojo")))))</f>
        <v>Rojo</v>
      </c>
      <c r="AM15" s="47" t="str">
        <f aca="false">IF($C15="","",IF(AND(ISNUMBER(Y15),N(Y15)&lt;60),"Ejecución &lt; 60 %: rojo automático",IF(AND(ISNUMBER(AE15),N(AE15)&lt;80),"PIAR &lt; 80 %: máximo amarillo",IF(AND(ISNUMBER(AC15),N(AC15)&lt;50,N(O15)&gt;=2),"Observación &lt; 50: máximo amarillo",IF(AND(N15&lt;&gt;"",N(N15)&lt;Parámetros!$B$15),"κ &lt; 0,60: observación descartada, repetir","")))))</f>
        <v/>
      </c>
    </row>
    <row r="16" customFormat="false" ht="15" hidden="false" customHeight="false" outlineLevel="0" collapsed="false">
      <c r="A16" s="46" t="n">
        <v>2027</v>
      </c>
      <c r="B16" s="46" t="n">
        <v>2</v>
      </c>
      <c r="C16" s="46" t="s">
        <v>153</v>
      </c>
      <c r="D16" s="46" t="s">
        <v>154</v>
      </c>
      <c r="E16" s="46" t="n">
        <v>10</v>
      </c>
      <c r="F16" s="46" t="n">
        <v>9</v>
      </c>
      <c r="G16" s="46" t="n">
        <v>10</v>
      </c>
      <c r="H16" s="46" t="n">
        <v>10</v>
      </c>
      <c r="I16" s="46" t="n">
        <v>6</v>
      </c>
      <c r="J16" s="46" t="n">
        <v>6</v>
      </c>
      <c r="K16" s="46" t="n">
        <v>21</v>
      </c>
      <c r="L16" s="46" t="n">
        <v>2.7</v>
      </c>
      <c r="M16" s="46" t="n">
        <v>4.4</v>
      </c>
      <c r="N16" s="46" t="n">
        <v>0.81</v>
      </c>
      <c r="O16" s="46" t="n">
        <v>2</v>
      </c>
      <c r="P16" s="46" t="n">
        <v>0.43</v>
      </c>
      <c r="Q16" s="46" t="n">
        <v>21</v>
      </c>
      <c r="R16" s="46" t="n">
        <v>6</v>
      </c>
      <c r="S16" s="46" t="n">
        <v>5</v>
      </c>
      <c r="T16" s="46" t="n">
        <v>5</v>
      </c>
      <c r="U16" s="46" t="n">
        <v>1</v>
      </c>
      <c r="V16" s="46"/>
      <c r="W16" s="46"/>
      <c r="X16" s="47" t="n">
        <f aca="false">IF(N(E16)&gt;0,MIN(100,F16/E16*100),"")</f>
        <v>90</v>
      </c>
      <c r="Y16" s="47" t="n">
        <f aca="false">IF(N(G16)&gt;0,MIN(100,H16/G16*100),"")</f>
        <v>100</v>
      </c>
      <c r="Z16" s="47" t="n">
        <f aca="false">IF(N(I16)&gt;0,MIN(100,J16/I16*100),"")</f>
        <v>100</v>
      </c>
      <c r="AA16" s="47" t="n">
        <f aca="false">IF(K16="","",K16/24*100)</f>
        <v>87.5</v>
      </c>
      <c r="AB16" s="47" t="n">
        <f aca="false">IF(L16="","",L16/3*100)</f>
        <v>90</v>
      </c>
      <c r="AC16" s="47" t="n">
        <f aca="false">IF(OR(M16="",AND(N16&lt;&gt;"",N(N16)&lt;Parámetros!$B$15)),"",MAX(0,MIN(100,(M16-1)/4*100)))</f>
        <v>85</v>
      </c>
      <c r="AD16" s="47" t="n">
        <f aca="false">IF(OR(P16="",N(Q16)=0),"",MAX(0,MIN(100,((Q16/(Q16+Parámetros!$B$16))*P16+(Parámetros!$B$16/(Q16+Parámetros!$B$16))*Parámetros!$B$17-0.1)/0.4*100)))</f>
        <v>72.0161290322581</v>
      </c>
      <c r="AE16" s="47" t="n">
        <f aca="false">IF(N(R16)&gt;0,MIN(100,S16/R16*100),"")</f>
        <v>83.3333333333333</v>
      </c>
      <c r="AF16" s="47" t="n">
        <f aca="false">IF(N(U16)&gt;0,MIN(100,T16/(U16*5)*100),"")</f>
        <v>100</v>
      </c>
      <c r="AG16" s="47" t="str">
        <f aca="false">IF(OR(V16="",N(W16)&lt;10),"",(V16-1)/4*100)</f>
        <v/>
      </c>
      <c r="AH16" s="47" t="n">
        <f aca="false">IF($C16="","",COUNT(X16:AG16))</f>
        <v>9</v>
      </c>
      <c r="AI16" s="47" t="n">
        <f aca="false">IF(OR($C16="",N(AH16)&lt;Parámetros!$B$18),"",(IF(ISNUMBER(X16),X16*Parámetros!$B$2,0)+IF(ISNUMBER(Y16),Y16*Parámetros!$B$3,0)+IF(ISNUMBER(Z16),Z16*Parámetros!$B$4,0)+IF(ISNUMBER(AA16),AA16*Parámetros!$B$5,0)+IF(ISNUMBER(AB16),AB16*Parámetros!$B$6,0)+IF(ISNUMBER(AC16),AC16*Parámetros!$B$7,0)+IF(ISNUMBER(AD16),AD16*Parámetros!$B$8,0)+IF(ISNUMBER(AE16),AE16*Parámetros!$B$9,0)+IF(ISNUMBER(AF16),AF16*Parámetros!$B$10,0)+IF(ISNUMBER(AG16),AG16*Parámetros!$B$11,0))/(IF(ISNUMBER(X16),Parámetros!$B$2,0)+IF(ISNUMBER(Y16),Parámetros!$B$3,0)+IF(ISNUMBER(Z16),Parámetros!$B$4,0)+IF(ISNUMBER(AA16),Parámetros!$B$5,0)+IF(ISNUMBER(AB16),Parámetros!$B$6,0)+IF(ISNUMBER(AC16),Parámetros!$B$7,0)+IF(ISNUMBER(AD16),Parámetros!$B$8,0)+IF(ISNUMBER(AE16),Parámetros!$B$9,0)+IF(ISNUMBER(AF16),Parámetros!$B$10,0)+IF(ISNUMBER(AG16),Parámetros!$B$11,0)))</f>
        <v>87.7744765138653</v>
      </c>
      <c r="AJ16" s="47" t="n">
        <f aca="false">IF(AND(ISNUMBER(Y16),N(Y16)&lt;60),69.9,IF(OR(AND(ISNUMBER(AE16),N(AE16)&lt;80),AND(ISNUMBER(AC16),N(AC16)&lt;50,N(O16)&gt;=2)),84.9,100))</f>
        <v>100</v>
      </c>
      <c r="AK16" s="47" t="n">
        <f aca="false">IF(AI16="","",MIN(AI16,AJ16))</f>
        <v>87.7744765138653</v>
      </c>
      <c r="AL16" s="47" t="str">
        <f aca="false">IF($C16="","",IF(AK16="","Gris — menos de 3 fuentes",IF(AND(AK16&lt;Parámetros!$B$14,N16&lt;&gt;"",N(N16)&lt;Parámetros!$B$15,N(Y16)&gt;=60),"Gris — repetir observación",IF(AK16&gt;=Parámetros!$B$13,"Verde",IF(AK16&gt;=Parámetros!$B$14,"Amarillo","Rojo")))))</f>
        <v>Verde</v>
      </c>
      <c r="AM16" s="47" t="str">
        <f aca="false">IF($C16="","",IF(AND(ISNUMBER(Y16),N(Y16)&lt;60),"Ejecución &lt; 60 %: rojo automático",IF(AND(ISNUMBER(AE16),N(AE16)&lt;80),"PIAR &lt; 80 %: máximo amarillo",IF(AND(ISNUMBER(AC16),N(AC16)&lt;50,N(O16)&gt;=2),"Observación &lt; 50: máximo amarillo",IF(AND(N16&lt;&gt;"",N(N16)&lt;Parámetros!$B$15),"κ &lt; 0,60: observación descartada, repetir","")))))</f>
        <v/>
      </c>
    </row>
    <row r="17" customFormat="false" ht="15" hidden="false" customHeight="false" outlineLevel="0" collapsed="false">
      <c r="A17" s="46" t="n">
        <v>2027</v>
      </c>
      <c r="B17" s="46" t="n">
        <v>2</v>
      </c>
      <c r="C17" s="46" t="s">
        <v>155</v>
      </c>
      <c r="D17" s="46" t="s">
        <v>156</v>
      </c>
      <c r="E17" s="46" t="n">
        <v>10</v>
      </c>
      <c r="F17" s="46" t="n">
        <v>8</v>
      </c>
      <c r="G17" s="46" t="n">
        <v>10</v>
      </c>
      <c r="H17" s="46" t="n">
        <v>9</v>
      </c>
      <c r="I17" s="46" t="n">
        <v>6</v>
      </c>
      <c r="J17" s="46" t="n">
        <v>5</v>
      </c>
      <c r="K17" s="46" t="n">
        <v>18</v>
      </c>
      <c r="L17" s="46" t="n">
        <v>2</v>
      </c>
      <c r="M17" s="46" t="n">
        <v>4</v>
      </c>
      <c r="N17" s="46" t="n">
        <v>0.8</v>
      </c>
      <c r="O17" s="46" t="n">
        <v>2</v>
      </c>
      <c r="P17" s="46" t="n">
        <v>0.36</v>
      </c>
      <c r="Q17" s="46" t="n">
        <v>29</v>
      </c>
      <c r="R17" s="46"/>
      <c r="S17" s="46"/>
      <c r="T17" s="46" t="n">
        <v>4</v>
      </c>
      <c r="U17" s="46" t="n">
        <v>1</v>
      </c>
      <c r="V17" s="46"/>
      <c r="W17" s="46"/>
      <c r="X17" s="47" t="n">
        <f aca="false">IF(N(E17)&gt;0,MIN(100,F17/E17*100),"")</f>
        <v>80</v>
      </c>
      <c r="Y17" s="47" t="n">
        <f aca="false">IF(N(G17)&gt;0,MIN(100,H17/G17*100),"")</f>
        <v>90</v>
      </c>
      <c r="Z17" s="47" t="n">
        <f aca="false">IF(N(I17)&gt;0,MIN(100,J17/I17*100),"")</f>
        <v>83.3333333333333</v>
      </c>
      <c r="AA17" s="47" t="n">
        <f aca="false">IF(K17="","",K17/24*100)</f>
        <v>75</v>
      </c>
      <c r="AB17" s="47" t="n">
        <f aca="false">IF(L17="","",L17/3*100)</f>
        <v>66.6666666666667</v>
      </c>
      <c r="AC17" s="47" t="n">
        <f aca="false">IF(OR(M17="",AND(N17&lt;&gt;"",N(N17)&lt;Parámetros!$B$15)),"",MAX(0,MIN(100,(M17-1)/4*100)))</f>
        <v>75</v>
      </c>
      <c r="AD17" s="47" t="n">
        <f aca="false">IF(OR(P17="",N(Q17)=0),"",MAX(0,MIN(100,((Q17/(Q17+Parámetros!$B$16))*P17+(Parámetros!$B$16/(Q17+Parámetros!$B$16))*Parámetros!$B$17-0.1)/0.4*100)))</f>
        <v>61.1538461538461</v>
      </c>
      <c r="AE17" s="47" t="str">
        <f aca="false">IF(N(R17)&gt;0,MIN(100,S17/R17*100),"")</f>
        <v/>
      </c>
      <c r="AF17" s="47" t="n">
        <f aca="false">IF(N(U17)&gt;0,MIN(100,T17/(U17*5)*100),"")</f>
        <v>80</v>
      </c>
      <c r="AG17" s="47" t="str">
        <f aca="false">IF(OR(V17="",N(W17)&lt;10),"",(V17-1)/4*100)</f>
        <v/>
      </c>
      <c r="AH17" s="47" t="n">
        <f aca="false">IF($C17="","",COUNT(X17:AG17))</f>
        <v>8</v>
      </c>
      <c r="AI17" s="47" t="n">
        <f aca="false">IF(OR($C17="",N(AH17)&lt;Parámetros!$B$18),"",(IF(ISNUMBER(X17),X17*Parámetros!$B$2,0)+IF(ISNUMBER(Y17),Y17*Parámetros!$B$3,0)+IF(ISNUMBER(Z17),Z17*Parámetros!$B$4,0)+IF(ISNUMBER(AA17),AA17*Parámetros!$B$5,0)+IF(ISNUMBER(AB17),AB17*Parámetros!$B$6,0)+IF(ISNUMBER(AC17),AC17*Parámetros!$B$7,0)+IF(ISNUMBER(AD17),AD17*Parámetros!$B$8,0)+IF(ISNUMBER(AE17),AE17*Parámetros!$B$9,0)+IF(ISNUMBER(AF17),AF17*Parámetros!$B$10,0)+IF(ISNUMBER(AG17),AG17*Parámetros!$B$11,0))/(IF(ISNUMBER(X17),Parámetros!$B$2,0)+IF(ISNUMBER(Y17),Parámetros!$B$3,0)+IF(ISNUMBER(Z17),Parámetros!$B$4,0)+IF(ISNUMBER(AA17),Parámetros!$B$5,0)+IF(ISNUMBER(AB17),Parámetros!$B$6,0)+IF(ISNUMBER(AC17),Parámetros!$B$7,0)+IF(ISNUMBER(AD17),Parámetros!$B$8,0)+IF(ISNUMBER(AE17),Parámetros!$B$9,0)+IF(ISNUMBER(AF17),Parámetros!$B$10,0)+IF(ISNUMBER(AG17),Parámetros!$B$11,0)))</f>
        <v>74.9095022624434</v>
      </c>
      <c r="AJ17" s="47" t="n">
        <f aca="false">IF(AND(ISNUMBER(Y17),N(Y17)&lt;60),69.9,IF(OR(AND(ISNUMBER(AE17),N(AE17)&lt;80),AND(ISNUMBER(AC17),N(AC17)&lt;50,N(O17)&gt;=2)),84.9,100))</f>
        <v>100</v>
      </c>
      <c r="AK17" s="47" t="n">
        <f aca="false">IF(AI17="","",MIN(AI17,AJ17))</f>
        <v>74.9095022624434</v>
      </c>
      <c r="AL17" s="47" t="str">
        <f aca="false">IF($C17="","",IF(AK17="","Gris — menos de 3 fuentes",IF(AND(AK17&lt;Parámetros!$B$14,N17&lt;&gt;"",N(N17)&lt;Parámetros!$B$15,N(Y17)&gt;=60),"Gris — repetir observación",IF(AK17&gt;=Parámetros!$B$13,"Verde",IF(AK17&gt;=Parámetros!$B$14,"Amarillo","Rojo")))))</f>
        <v>Amarillo</v>
      </c>
      <c r="AM17" s="47" t="str">
        <f aca="false">IF($C17="","",IF(AND(ISNUMBER(Y17),N(Y17)&lt;60),"Ejecución &lt; 60 %: rojo automático",IF(AND(ISNUMBER(AE17),N(AE17)&lt;80),"PIAR &lt; 80 %: máximo amarillo",IF(AND(ISNUMBER(AC17),N(AC17)&lt;50,N(O17)&gt;=2),"Observación &lt; 50: máximo amarillo",IF(AND(N17&lt;&gt;"",N(N17)&lt;Parámetros!$B$15),"κ &lt; 0,60: observación descartada, repetir","")))))</f>
        <v/>
      </c>
    </row>
    <row r="18" customFormat="false" ht="15" hidden="false" customHeight="false" outlineLevel="0" collapsed="false">
      <c r="A18" s="46" t="n">
        <v>2028</v>
      </c>
      <c r="B18" s="46" t="n">
        <v>1</v>
      </c>
      <c r="C18" s="46" t="s">
        <v>141</v>
      </c>
      <c r="D18" s="46" t="s">
        <v>142</v>
      </c>
      <c r="E18" s="46" t="n">
        <v>10</v>
      </c>
      <c r="F18" s="46" t="n">
        <v>10</v>
      </c>
      <c r="G18" s="46" t="n">
        <v>10</v>
      </c>
      <c r="H18" s="46" t="n">
        <v>10</v>
      </c>
      <c r="I18" s="46" t="n">
        <v>6</v>
      </c>
      <c r="J18" s="46" t="n">
        <v>6</v>
      </c>
      <c r="K18" s="46" t="n">
        <v>22</v>
      </c>
      <c r="L18" s="46" t="n">
        <v>2.8</v>
      </c>
      <c r="M18" s="46" t="n">
        <v>4.7</v>
      </c>
      <c r="N18" s="46" t="n">
        <v>0.84</v>
      </c>
      <c r="O18" s="46" t="n">
        <v>2</v>
      </c>
      <c r="P18" s="46" t="n">
        <v>0.49</v>
      </c>
      <c r="Q18" s="46" t="n">
        <v>25</v>
      </c>
      <c r="R18" s="46" t="n">
        <v>6</v>
      </c>
      <c r="S18" s="46" t="n">
        <v>6</v>
      </c>
      <c r="T18" s="46" t="n">
        <v>5</v>
      </c>
      <c r="U18" s="46" t="n">
        <v>1</v>
      </c>
      <c r="V18" s="46" t="n">
        <v>4.7</v>
      </c>
      <c r="W18" s="46" t="n">
        <v>21</v>
      </c>
      <c r="X18" s="47" t="n">
        <f aca="false">IF(N(E18)&gt;0,MIN(100,F18/E18*100),"")</f>
        <v>100</v>
      </c>
      <c r="Y18" s="47" t="n">
        <f aca="false">IF(N(G18)&gt;0,MIN(100,H18/G18*100),"")</f>
        <v>100</v>
      </c>
      <c r="Z18" s="47" t="n">
        <f aca="false">IF(N(I18)&gt;0,MIN(100,J18/I18*100),"")</f>
        <v>100</v>
      </c>
      <c r="AA18" s="47" t="n">
        <f aca="false">IF(K18="","",K18/24*100)</f>
        <v>91.6666666666667</v>
      </c>
      <c r="AB18" s="47" t="n">
        <f aca="false">IF(L18="","",L18/3*100)</f>
        <v>93.3333333333333</v>
      </c>
      <c r="AC18" s="47" t="n">
        <f aca="false">IF(OR(M18="",AND(N18&lt;&gt;"",N(N18)&lt;Parámetros!$B$15)),"",MAX(0,MIN(100,(M18-1)/4*100)))</f>
        <v>92.5</v>
      </c>
      <c r="AD18" s="47" t="n">
        <f aca="false">IF(OR(P18="",N(Q18)=0),"",MAX(0,MIN(100,((Q18/(Q18+Parámetros!$B$16))*P18+(Parámetros!$B$16/(Q18+Parámetros!$B$16))*Parámetros!$B$17-0.1)/0.4*100)))</f>
        <v>83.9285714285714</v>
      </c>
      <c r="AE18" s="47" t="n">
        <f aca="false">IF(N(R18)&gt;0,MIN(100,S18/R18*100),"")</f>
        <v>100</v>
      </c>
      <c r="AF18" s="47" t="n">
        <f aca="false">IF(N(U18)&gt;0,MIN(100,T18/(U18*5)*100),"")</f>
        <v>100</v>
      </c>
      <c r="AG18" s="47" t="n">
        <f aca="false">IF(OR(V18="",N(W18)&lt;10),"",(V18-1)/4*100)</f>
        <v>92.5</v>
      </c>
      <c r="AH18" s="47" t="n">
        <f aca="false">IF($C18="","",COUNT(X18:AG18))</f>
        <v>10</v>
      </c>
      <c r="AI18" s="47" t="n">
        <f aca="false">IF(OR($C18="",N(AH18)&lt;Parámetros!$B$18),"",(IF(ISNUMBER(X18),X18*Parámetros!$B$2,0)+IF(ISNUMBER(Y18),Y18*Parámetros!$B$3,0)+IF(ISNUMBER(Z18),Z18*Parámetros!$B$4,0)+IF(ISNUMBER(AA18),AA18*Parámetros!$B$5,0)+IF(ISNUMBER(AB18),AB18*Parámetros!$B$6,0)+IF(ISNUMBER(AC18),AC18*Parámetros!$B$7,0)+IF(ISNUMBER(AD18),AD18*Parámetros!$B$8,0)+IF(ISNUMBER(AE18),AE18*Parámetros!$B$9,0)+IF(ISNUMBER(AF18),AF18*Parámetros!$B$10,0)+IF(ISNUMBER(AG18),AG18*Parámetros!$B$11,0))/(IF(ISNUMBER(X18),Parámetros!$B$2,0)+IF(ISNUMBER(Y18),Parámetros!$B$3,0)+IF(ISNUMBER(Z18),Parámetros!$B$4,0)+IF(ISNUMBER(AA18),Parámetros!$B$5,0)+IF(ISNUMBER(AB18),Parámetros!$B$6,0)+IF(ISNUMBER(AC18),Parámetros!$B$7,0)+IF(ISNUMBER(AD18),Parámetros!$B$8,0)+IF(ISNUMBER(AE18),Parámetros!$B$9,0)+IF(ISNUMBER(AF18),Parámetros!$B$10,0)+IF(ISNUMBER(AG18),Parámetros!$B$11,0)))</f>
        <v>94.2142857142857</v>
      </c>
      <c r="AJ18" s="47" t="n">
        <f aca="false">IF(AND(ISNUMBER(Y18),N(Y18)&lt;60),69.9,IF(OR(AND(ISNUMBER(AE18),N(AE18)&lt;80),AND(ISNUMBER(AC18),N(AC18)&lt;50,N(O18)&gt;=2)),84.9,100))</f>
        <v>100</v>
      </c>
      <c r="AK18" s="47" t="n">
        <f aca="false">IF(AI18="","",MIN(AI18,AJ18))</f>
        <v>94.2142857142857</v>
      </c>
      <c r="AL18" s="47" t="str">
        <f aca="false">IF($C18="","",IF(AK18="","Gris — menos de 3 fuentes",IF(AND(AK18&lt;Parámetros!$B$14,N18&lt;&gt;"",N(N18)&lt;Parámetros!$B$15,N(Y18)&gt;=60),"Gris — repetir observación",IF(AK18&gt;=Parámetros!$B$13,"Verde",IF(AK18&gt;=Parámetros!$B$14,"Amarillo","Rojo")))))</f>
        <v>Verde</v>
      </c>
      <c r="AM18" s="47" t="str">
        <f aca="false">IF($C18="","",IF(AND(ISNUMBER(Y18),N(Y18)&lt;60),"Ejecución &lt; 60 %: rojo automático",IF(AND(ISNUMBER(AE18),N(AE18)&lt;80),"PIAR &lt; 80 %: máximo amarillo",IF(AND(ISNUMBER(AC18),N(AC18)&lt;50,N(O18)&gt;=2),"Observación &lt; 50: máximo amarillo",IF(AND(N18&lt;&gt;"",N(N18)&lt;Parámetros!$B$15),"κ &lt; 0,60: observación descartada, repetir","")))))</f>
        <v/>
      </c>
    </row>
    <row r="19" customFormat="false" ht="15" hidden="false" customHeight="false" outlineLevel="0" collapsed="false">
      <c r="A19" s="46" t="n">
        <v>2028</v>
      </c>
      <c r="B19" s="46" t="n">
        <v>1</v>
      </c>
      <c r="C19" s="46" t="s">
        <v>143</v>
      </c>
      <c r="D19" s="46" t="s">
        <v>144</v>
      </c>
      <c r="E19" s="46" t="n">
        <v>10</v>
      </c>
      <c r="F19" s="46" t="n">
        <v>9</v>
      </c>
      <c r="G19" s="46" t="n">
        <v>10</v>
      </c>
      <c r="H19" s="46" t="n">
        <v>10</v>
      </c>
      <c r="I19" s="46" t="n">
        <v>6</v>
      </c>
      <c r="J19" s="46" t="n">
        <v>5</v>
      </c>
      <c r="K19" s="46" t="n">
        <v>21</v>
      </c>
      <c r="L19" s="46" t="n">
        <v>2.3</v>
      </c>
      <c r="M19" s="46" t="n">
        <v>4.1</v>
      </c>
      <c r="N19" s="46" t="n">
        <v>0.8</v>
      </c>
      <c r="O19" s="46" t="n">
        <v>2</v>
      </c>
      <c r="P19" s="46" t="n">
        <v>0.53</v>
      </c>
      <c r="Q19" s="46" t="n">
        <v>30</v>
      </c>
      <c r="R19" s="46"/>
      <c r="S19" s="46"/>
      <c r="T19" s="46" t="n">
        <v>5</v>
      </c>
      <c r="U19" s="46" t="n">
        <v>1</v>
      </c>
      <c r="V19" s="46" t="n">
        <v>4.4</v>
      </c>
      <c r="W19" s="46" t="n">
        <v>26</v>
      </c>
      <c r="X19" s="47" t="n">
        <f aca="false">IF(N(E19)&gt;0,MIN(100,F19/E19*100),"")</f>
        <v>90</v>
      </c>
      <c r="Y19" s="47" t="n">
        <f aca="false">IF(N(G19)&gt;0,MIN(100,H19/G19*100),"")</f>
        <v>100</v>
      </c>
      <c r="Z19" s="47" t="n">
        <f aca="false">IF(N(I19)&gt;0,MIN(100,J19/I19*100),"")</f>
        <v>83.3333333333333</v>
      </c>
      <c r="AA19" s="47" t="n">
        <f aca="false">IF(K19="","",K19/24*100)</f>
        <v>87.5</v>
      </c>
      <c r="AB19" s="47" t="n">
        <f aca="false">IF(L19="","",L19/3*100)</f>
        <v>76.6666666666667</v>
      </c>
      <c r="AC19" s="47" t="n">
        <f aca="false">IF(OR(M19="",AND(N19&lt;&gt;"",N(N19)&lt;Parámetros!$B$15)),"",MAX(0,MIN(100,(M19-1)/4*100)))</f>
        <v>77.5</v>
      </c>
      <c r="AD19" s="47" t="n">
        <f aca="false">IF(OR(P19="",N(Q19)=0),"",MAX(0,MIN(100,((Q19/(Q19+Parámetros!$B$16))*P19+(Parámetros!$B$16/(Q19+Parámetros!$B$16))*Parámetros!$B$17-0.1)/0.4*100)))</f>
        <v>93.125</v>
      </c>
      <c r="AE19" s="47" t="str">
        <f aca="false">IF(N(R19)&gt;0,MIN(100,S19/R19*100),"")</f>
        <v/>
      </c>
      <c r="AF19" s="47" t="n">
        <f aca="false">IF(N(U19)&gt;0,MIN(100,T19/(U19*5)*100),"")</f>
        <v>100</v>
      </c>
      <c r="AG19" s="47" t="n">
        <f aca="false">IF(OR(V19="",N(W19)&lt;10),"",(V19-1)/4*100)</f>
        <v>85</v>
      </c>
      <c r="AH19" s="47" t="n">
        <f aca="false">IF($C19="","",COUNT(X19:AG19))</f>
        <v>9</v>
      </c>
      <c r="AI19" s="47" t="n">
        <f aca="false">IF(OR($C19="",N(AH19)&lt;Parámetros!$B$18),"",(IF(ISNUMBER(X19),X19*Parámetros!$B$2,0)+IF(ISNUMBER(Y19),Y19*Parámetros!$B$3,0)+IF(ISNUMBER(Z19),Z19*Parámetros!$B$4,0)+IF(ISNUMBER(AA19),AA19*Parámetros!$B$5,0)+IF(ISNUMBER(AB19),AB19*Parámetros!$B$6,0)+IF(ISNUMBER(AC19),AC19*Parámetros!$B$7,0)+IF(ISNUMBER(AD19),AD19*Parámetros!$B$8,0)+IF(ISNUMBER(AE19),AE19*Parámetros!$B$9,0)+IF(ISNUMBER(AF19),AF19*Parámetros!$B$10,0)+IF(ISNUMBER(AG19),AG19*Parámetros!$B$11,0))/(IF(ISNUMBER(X19),Parámetros!$B$2,0)+IF(ISNUMBER(Y19),Parámetros!$B$3,0)+IF(ISNUMBER(Z19),Parámetros!$B$4,0)+IF(ISNUMBER(AA19),Parámetros!$B$5,0)+IF(ISNUMBER(AB19),Parámetros!$B$6,0)+IF(ISNUMBER(AC19),Parámetros!$B$7,0)+IF(ISNUMBER(AD19),Parámetros!$B$8,0)+IF(ISNUMBER(AE19),Parámetros!$B$9,0)+IF(ISNUMBER(AF19),Parámetros!$B$10,0)+IF(ISNUMBER(AG19),Parámetros!$B$11,0)))</f>
        <v>86.6319444444444</v>
      </c>
      <c r="AJ19" s="47" t="n">
        <f aca="false">IF(AND(ISNUMBER(Y19),N(Y19)&lt;60),69.9,IF(OR(AND(ISNUMBER(AE19),N(AE19)&lt;80),AND(ISNUMBER(AC19),N(AC19)&lt;50,N(O19)&gt;=2)),84.9,100))</f>
        <v>100</v>
      </c>
      <c r="AK19" s="47" t="n">
        <f aca="false">IF(AI19="","",MIN(AI19,AJ19))</f>
        <v>86.6319444444444</v>
      </c>
      <c r="AL19" s="47" t="str">
        <f aca="false">IF($C19="","",IF(AK19="","Gris — menos de 3 fuentes",IF(AND(AK19&lt;Parámetros!$B$14,N19&lt;&gt;"",N(N19)&lt;Parámetros!$B$15,N(Y19)&gt;=60),"Gris — repetir observación",IF(AK19&gt;=Parámetros!$B$13,"Verde",IF(AK19&gt;=Parámetros!$B$14,"Amarillo","Rojo")))))</f>
        <v>Verde</v>
      </c>
      <c r="AM19" s="47" t="str">
        <f aca="false">IF($C19="","",IF(AND(ISNUMBER(Y19),N(Y19)&lt;60),"Ejecución &lt; 60 %: rojo automático",IF(AND(ISNUMBER(AE19),N(AE19)&lt;80),"PIAR &lt; 80 %: máximo amarillo",IF(AND(ISNUMBER(AC19),N(AC19)&lt;50,N(O19)&gt;=2),"Observación &lt; 50: máximo amarillo",IF(AND(N19&lt;&gt;"",N(N19)&lt;Parámetros!$B$15),"κ &lt; 0,60: observación descartada, repetir","")))))</f>
        <v/>
      </c>
    </row>
    <row r="20" customFormat="false" ht="15" hidden="false" customHeight="false" outlineLevel="0" collapsed="false">
      <c r="A20" s="46" t="n">
        <v>2028</v>
      </c>
      <c r="B20" s="46" t="n">
        <v>1</v>
      </c>
      <c r="C20" s="46" t="s">
        <v>145</v>
      </c>
      <c r="D20" s="46" t="s">
        <v>146</v>
      </c>
      <c r="E20" s="46" t="n">
        <v>10</v>
      </c>
      <c r="F20" s="46" t="n">
        <v>9</v>
      </c>
      <c r="G20" s="46" t="n">
        <v>10</v>
      </c>
      <c r="H20" s="46" t="n">
        <v>9</v>
      </c>
      <c r="I20" s="46" t="n">
        <v>6</v>
      </c>
      <c r="J20" s="46" t="n">
        <v>5</v>
      </c>
      <c r="K20" s="46" t="n">
        <v>15</v>
      </c>
      <c r="L20" s="46" t="n">
        <v>2</v>
      </c>
      <c r="M20" s="46" t="n">
        <v>3.5</v>
      </c>
      <c r="N20" s="46" t="n">
        <v>0.85</v>
      </c>
      <c r="O20" s="46" t="n">
        <v>2</v>
      </c>
      <c r="P20" s="46" t="n">
        <v>0.36</v>
      </c>
      <c r="Q20" s="46" t="n">
        <v>29</v>
      </c>
      <c r="R20" s="46"/>
      <c r="S20" s="46"/>
      <c r="T20" s="46" t="n">
        <v>4</v>
      </c>
      <c r="U20" s="46" t="n">
        <v>1</v>
      </c>
      <c r="V20" s="46" t="n">
        <v>4.1</v>
      </c>
      <c r="W20" s="46" t="n">
        <v>28</v>
      </c>
      <c r="X20" s="47" t="n">
        <f aca="false">IF(N(E20)&gt;0,MIN(100,F20/E20*100),"")</f>
        <v>90</v>
      </c>
      <c r="Y20" s="47" t="n">
        <f aca="false">IF(N(G20)&gt;0,MIN(100,H20/G20*100),"")</f>
        <v>90</v>
      </c>
      <c r="Z20" s="47" t="n">
        <f aca="false">IF(N(I20)&gt;0,MIN(100,J20/I20*100),"")</f>
        <v>83.3333333333333</v>
      </c>
      <c r="AA20" s="47" t="n">
        <f aca="false">IF(K20="","",K20/24*100)</f>
        <v>62.5</v>
      </c>
      <c r="AB20" s="47" t="n">
        <f aca="false">IF(L20="","",L20/3*100)</f>
        <v>66.6666666666667</v>
      </c>
      <c r="AC20" s="47" t="n">
        <f aca="false">IF(OR(M20="",AND(N20&lt;&gt;"",N(N20)&lt;Parámetros!$B$15)),"",MAX(0,MIN(100,(M20-1)/4*100)))</f>
        <v>62.5</v>
      </c>
      <c r="AD20" s="47" t="n">
        <f aca="false">IF(OR(P20="",N(Q20)=0),"",MAX(0,MIN(100,((Q20/(Q20+Parámetros!$B$16))*P20+(Parámetros!$B$16/(Q20+Parámetros!$B$16))*Parámetros!$B$17-0.1)/0.4*100)))</f>
        <v>61.1538461538461</v>
      </c>
      <c r="AE20" s="47" t="str">
        <f aca="false">IF(N(R20)&gt;0,MIN(100,S20/R20*100),"")</f>
        <v/>
      </c>
      <c r="AF20" s="47" t="n">
        <f aca="false">IF(N(U20)&gt;0,MIN(100,T20/(U20*5)*100),"")</f>
        <v>80</v>
      </c>
      <c r="AG20" s="47" t="n">
        <f aca="false">IF(OR(V20="",N(W20)&lt;10),"",(V20-1)/4*100)</f>
        <v>77.5</v>
      </c>
      <c r="AH20" s="47" t="n">
        <f aca="false">IF($C20="","",COUNT(X20:AG20))</f>
        <v>9</v>
      </c>
      <c r="AI20" s="47" t="n">
        <f aca="false">IF(OR($C20="",N(AH20)&lt;Parámetros!$B$18),"",(IF(ISNUMBER(X20),X20*Parámetros!$B$2,0)+IF(ISNUMBER(Y20),Y20*Parámetros!$B$3,0)+IF(ISNUMBER(Z20),Z20*Parámetros!$B$4,0)+IF(ISNUMBER(AA20),AA20*Parámetros!$B$5,0)+IF(ISNUMBER(AB20),AB20*Parámetros!$B$6,0)+IF(ISNUMBER(AC20),AC20*Parámetros!$B$7,0)+IF(ISNUMBER(AD20),AD20*Parámetros!$B$8,0)+IF(ISNUMBER(AE20),AE20*Parámetros!$B$9,0)+IF(ISNUMBER(AF20),AF20*Parámetros!$B$10,0)+IF(ISNUMBER(AG20),AG20*Parámetros!$B$11,0))/(IF(ISNUMBER(X20),Parámetros!$B$2,0)+IF(ISNUMBER(Y20),Parámetros!$B$3,0)+IF(ISNUMBER(Z20),Parámetros!$B$4,0)+IF(ISNUMBER(AA20),Parámetros!$B$5,0)+IF(ISNUMBER(AB20),Parámetros!$B$6,0)+IF(ISNUMBER(AC20),Parámetros!$B$7,0)+IF(ISNUMBER(AD20),Parámetros!$B$8,0)+IF(ISNUMBER(AE20),Parámetros!$B$9,0)+IF(ISNUMBER(AF20),Parámetros!$B$10,0)+IF(ISNUMBER(AG20),Parámetros!$B$11,0)))</f>
        <v>71.4423076923077</v>
      </c>
      <c r="AJ20" s="47" t="n">
        <f aca="false">IF(AND(ISNUMBER(Y20),N(Y20)&lt;60),69.9,IF(OR(AND(ISNUMBER(AE20),N(AE20)&lt;80),AND(ISNUMBER(AC20),N(AC20)&lt;50,N(O20)&gt;=2)),84.9,100))</f>
        <v>100</v>
      </c>
      <c r="AK20" s="47" t="n">
        <f aca="false">IF(AI20="","",MIN(AI20,AJ20))</f>
        <v>71.4423076923077</v>
      </c>
      <c r="AL20" s="47" t="str">
        <f aca="false">IF($C20="","",IF(AK20="","Gris — menos de 3 fuentes",IF(AND(AK20&lt;Parámetros!$B$14,N20&lt;&gt;"",N(N20)&lt;Parámetros!$B$15,N(Y20)&gt;=60),"Gris — repetir observación",IF(AK20&gt;=Parámetros!$B$13,"Verde",IF(AK20&gt;=Parámetros!$B$14,"Amarillo","Rojo")))))</f>
        <v>Amarillo</v>
      </c>
      <c r="AM20" s="47" t="str">
        <f aca="false">IF($C20="","",IF(AND(ISNUMBER(Y20),N(Y20)&lt;60),"Ejecución &lt; 60 %: rojo automático",IF(AND(ISNUMBER(AE20),N(AE20)&lt;80),"PIAR &lt; 80 %: máximo amarillo",IF(AND(ISNUMBER(AC20),N(AC20)&lt;50,N(O20)&gt;=2),"Observación &lt; 50: máximo amarillo",IF(AND(N20&lt;&gt;"",N(N20)&lt;Parámetros!$B$15),"κ &lt; 0,60: observación descartada, repetir","")))))</f>
        <v/>
      </c>
    </row>
    <row r="21" customFormat="false" ht="15" hidden="false" customHeight="false" outlineLevel="0" collapsed="false">
      <c r="A21" s="46" t="n">
        <v>2028</v>
      </c>
      <c r="B21" s="46" t="n">
        <v>1</v>
      </c>
      <c r="C21" s="46" t="s">
        <v>147</v>
      </c>
      <c r="D21" s="46" t="s">
        <v>148</v>
      </c>
      <c r="E21" s="46" t="n">
        <v>10</v>
      </c>
      <c r="F21" s="46" t="n">
        <v>10</v>
      </c>
      <c r="G21" s="46" t="n">
        <v>10</v>
      </c>
      <c r="H21" s="46" t="n">
        <v>10</v>
      </c>
      <c r="I21" s="46" t="n">
        <v>6</v>
      </c>
      <c r="J21" s="46" t="n">
        <v>6</v>
      </c>
      <c r="K21" s="46" t="n">
        <v>24</v>
      </c>
      <c r="L21" s="46" t="n">
        <v>2.9</v>
      </c>
      <c r="M21" s="46" t="n">
        <v>4.7</v>
      </c>
      <c r="N21" s="46" t="n">
        <v>0.8</v>
      </c>
      <c r="O21" s="46" t="n">
        <v>2</v>
      </c>
      <c r="P21" s="46" t="n">
        <v>0.47</v>
      </c>
      <c r="Q21" s="46" t="n">
        <v>29</v>
      </c>
      <c r="R21" s="46" t="n">
        <v>6</v>
      </c>
      <c r="S21" s="46" t="n">
        <v>6</v>
      </c>
      <c r="T21" s="46" t="n">
        <v>5</v>
      </c>
      <c r="U21" s="46" t="n">
        <v>1</v>
      </c>
      <c r="V21" s="46" t="n">
        <v>4.7</v>
      </c>
      <c r="W21" s="46" t="n">
        <v>27</v>
      </c>
      <c r="X21" s="47" t="n">
        <f aca="false">IF(N(E21)&gt;0,MIN(100,F21/E21*100),"")</f>
        <v>100</v>
      </c>
      <c r="Y21" s="47" t="n">
        <f aca="false">IF(N(G21)&gt;0,MIN(100,H21/G21*100),"")</f>
        <v>100</v>
      </c>
      <c r="Z21" s="47" t="n">
        <f aca="false">IF(N(I21)&gt;0,MIN(100,J21/I21*100),"")</f>
        <v>100</v>
      </c>
      <c r="AA21" s="47" t="n">
        <f aca="false">IF(K21="","",K21/24*100)</f>
        <v>100</v>
      </c>
      <c r="AB21" s="47" t="n">
        <f aca="false">IF(L21="","",L21/3*100)</f>
        <v>96.6666666666667</v>
      </c>
      <c r="AC21" s="47" t="n">
        <f aca="false">IF(OR(M21="",AND(N21&lt;&gt;"",N(N21)&lt;Parámetros!$B$15)),"",MAX(0,MIN(100,(M21-1)/4*100)))</f>
        <v>92.5</v>
      </c>
      <c r="AD21" s="47" t="n">
        <f aca="false">IF(OR(P21="",N(Q21)=0),"",MAX(0,MIN(100,((Q21/(Q21+Parámetros!$B$16))*P21+(Parámetros!$B$16/(Q21+Parámetros!$B$16))*Parámetros!$B$17-0.1)/0.4*100)))</f>
        <v>81.6025641025641</v>
      </c>
      <c r="AE21" s="47" t="n">
        <f aca="false">IF(N(R21)&gt;0,MIN(100,S21/R21*100),"")</f>
        <v>100</v>
      </c>
      <c r="AF21" s="47" t="n">
        <f aca="false">IF(N(U21)&gt;0,MIN(100,T21/(U21*5)*100),"")</f>
        <v>100</v>
      </c>
      <c r="AG21" s="47" t="n">
        <f aca="false">IF(OR(V21="",N(W21)&lt;10),"",(V21-1)/4*100)</f>
        <v>92.5</v>
      </c>
      <c r="AH21" s="47" t="n">
        <f aca="false">IF($C21="","",COUNT(X21:AG21))</f>
        <v>10</v>
      </c>
      <c r="AI21" s="47" t="n">
        <f aca="false">IF(OR($C21="",N(AH21)&lt;Parámetros!$B$18),"",(IF(ISNUMBER(X21),X21*Parámetros!$B$2,0)+IF(ISNUMBER(Y21),Y21*Parámetros!$B$3,0)+IF(ISNUMBER(Z21),Z21*Parámetros!$B$4,0)+IF(ISNUMBER(AA21),AA21*Parámetros!$B$5,0)+IF(ISNUMBER(AB21),AB21*Parámetros!$B$6,0)+IF(ISNUMBER(AC21),AC21*Parámetros!$B$7,0)+IF(ISNUMBER(AD21),AD21*Parámetros!$B$8,0)+IF(ISNUMBER(AE21),AE21*Parámetros!$B$9,0)+IF(ISNUMBER(AF21),AF21*Parámetros!$B$10,0)+IF(ISNUMBER(AG21),AG21*Parámetros!$B$11,0))/(IF(ISNUMBER(X21),Parámetros!$B$2,0)+IF(ISNUMBER(Y21),Parámetros!$B$3,0)+IF(ISNUMBER(Z21),Parámetros!$B$4,0)+IF(ISNUMBER(AA21),Parámetros!$B$5,0)+IF(ISNUMBER(AB21),Parámetros!$B$6,0)+IF(ISNUMBER(AC21),Parámetros!$B$7,0)+IF(ISNUMBER(AD21),Parámetros!$B$8,0)+IF(ISNUMBER(AE21),Parámetros!$B$9,0)+IF(ISNUMBER(AF21),Parámetros!$B$10,0)+IF(ISNUMBER(AG21),Parámetros!$B$11,0)))</f>
        <v>95.0320512820513</v>
      </c>
      <c r="AJ21" s="47" t="n">
        <f aca="false">IF(AND(ISNUMBER(Y21),N(Y21)&lt;60),69.9,IF(OR(AND(ISNUMBER(AE21),N(AE21)&lt;80),AND(ISNUMBER(AC21),N(AC21)&lt;50,N(O21)&gt;=2)),84.9,100))</f>
        <v>100</v>
      </c>
      <c r="AK21" s="47" t="n">
        <f aca="false">IF(AI21="","",MIN(AI21,AJ21))</f>
        <v>95.0320512820513</v>
      </c>
      <c r="AL21" s="47" t="str">
        <f aca="false">IF($C21="","",IF(AK21="","Gris — menos de 3 fuentes",IF(AND(AK21&lt;Parámetros!$B$14,N21&lt;&gt;"",N(N21)&lt;Parámetros!$B$15,N(Y21)&gt;=60),"Gris — repetir observación",IF(AK21&gt;=Parámetros!$B$13,"Verde",IF(AK21&gt;=Parámetros!$B$14,"Amarillo","Rojo")))))</f>
        <v>Verde</v>
      </c>
      <c r="AM21" s="47" t="str">
        <f aca="false">IF($C21="","",IF(AND(ISNUMBER(Y21),N(Y21)&lt;60),"Ejecución &lt; 60 %: rojo automático",IF(AND(ISNUMBER(AE21),N(AE21)&lt;80),"PIAR &lt; 80 %: máximo amarillo",IF(AND(ISNUMBER(AC21),N(AC21)&lt;50,N(O21)&gt;=2),"Observación &lt; 50: máximo amarillo",IF(AND(N21&lt;&gt;"",N(N21)&lt;Parámetros!$B$15),"κ &lt; 0,60: observación descartada, repetir","")))))</f>
        <v/>
      </c>
    </row>
    <row r="22" customFormat="false" ht="15" hidden="false" customHeight="false" outlineLevel="0" collapsed="false">
      <c r="A22" s="46" t="n">
        <v>2028</v>
      </c>
      <c r="B22" s="46" t="n">
        <v>1</v>
      </c>
      <c r="C22" s="46" t="s">
        <v>149</v>
      </c>
      <c r="D22" s="46" t="s">
        <v>150</v>
      </c>
      <c r="E22" s="46" t="n">
        <v>10</v>
      </c>
      <c r="F22" s="46" t="n">
        <v>8</v>
      </c>
      <c r="G22" s="46" t="n">
        <v>10</v>
      </c>
      <c r="H22" s="46" t="n">
        <v>10</v>
      </c>
      <c r="I22" s="46" t="n">
        <v>6</v>
      </c>
      <c r="J22" s="46" t="n">
        <v>6</v>
      </c>
      <c r="K22" s="46" t="n">
        <v>19</v>
      </c>
      <c r="L22" s="46" t="n">
        <v>2.5</v>
      </c>
      <c r="M22" s="46" t="n">
        <v>4.2</v>
      </c>
      <c r="N22" s="46" t="n">
        <v>0.82</v>
      </c>
      <c r="O22" s="46" t="n">
        <v>2</v>
      </c>
      <c r="P22" s="46" t="n">
        <v>0.4</v>
      </c>
      <c r="Q22" s="46" t="n">
        <v>21</v>
      </c>
      <c r="R22" s="46"/>
      <c r="S22" s="46"/>
      <c r="T22" s="46" t="n">
        <v>4</v>
      </c>
      <c r="U22" s="46" t="n">
        <v>1</v>
      </c>
      <c r="V22" s="46" t="n">
        <v>4.3</v>
      </c>
      <c r="W22" s="46" t="n">
        <v>22</v>
      </c>
      <c r="X22" s="47" t="n">
        <f aca="false">IF(N(E22)&gt;0,MIN(100,F22/E22*100),"")</f>
        <v>80</v>
      </c>
      <c r="Y22" s="47" t="n">
        <f aca="false">IF(N(G22)&gt;0,MIN(100,H22/G22*100),"")</f>
        <v>100</v>
      </c>
      <c r="Z22" s="47" t="n">
        <f aca="false">IF(N(I22)&gt;0,MIN(100,J22/I22*100),"")</f>
        <v>100</v>
      </c>
      <c r="AA22" s="47" t="n">
        <f aca="false">IF(K22="","",K22/24*100)</f>
        <v>79.1666666666667</v>
      </c>
      <c r="AB22" s="47" t="n">
        <f aca="false">IF(L22="","",L22/3*100)</f>
        <v>83.3333333333333</v>
      </c>
      <c r="AC22" s="47" t="n">
        <f aca="false">IF(OR(M22="",AND(N22&lt;&gt;"",N(N22)&lt;Parámetros!$B$15)),"",MAX(0,MIN(100,(M22-1)/4*100)))</f>
        <v>80</v>
      </c>
      <c r="AD22" s="47" t="n">
        <f aca="false">IF(OR(P22="",N(Q22)=0),"",MAX(0,MIN(100,((Q22/(Q22+Parámetros!$B$16))*P22+(Parámetros!$B$16/(Q22+Parámetros!$B$16))*Parámetros!$B$17-0.1)/0.4*100)))</f>
        <v>66.9354838709677</v>
      </c>
      <c r="AE22" s="47" t="str">
        <f aca="false">IF(N(R22)&gt;0,MIN(100,S22/R22*100),"")</f>
        <v/>
      </c>
      <c r="AF22" s="47" t="n">
        <f aca="false">IF(N(U22)&gt;0,MIN(100,T22/(U22*5)*100),"")</f>
        <v>80</v>
      </c>
      <c r="AG22" s="47" t="n">
        <f aca="false">IF(OR(V22="",N(W22)&lt;10),"",(V22-1)/4*100)</f>
        <v>82.5</v>
      </c>
      <c r="AH22" s="47" t="n">
        <f aca="false">IF($C22="","",COUNT(X22:AG22))</f>
        <v>9</v>
      </c>
      <c r="AI22" s="47" t="n">
        <f aca="false">IF(OR($C22="",N(AH22)&lt;Parámetros!$B$18),"",(IF(ISNUMBER(X22),X22*Parámetros!$B$2,0)+IF(ISNUMBER(Y22),Y22*Parámetros!$B$3,0)+IF(ISNUMBER(Z22),Z22*Parámetros!$B$4,0)+IF(ISNUMBER(AA22),AA22*Parámetros!$B$5,0)+IF(ISNUMBER(AB22),AB22*Parámetros!$B$6,0)+IF(ISNUMBER(AC22),AC22*Parámetros!$B$7,0)+IF(ISNUMBER(AD22),AD22*Parámetros!$B$8,0)+IF(ISNUMBER(AE22),AE22*Parámetros!$B$9,0)+IF(ISNUMBER(AF22),AF22*Parámetros!$B$10,0)+IF(ISNUMBER(AG22),AG22*Parámetros!$B$11,0))/(IF(ISNUMBER(X22),Parámetros!$B$2,0)+IF(ISNUMBER(Y22),Parámetros!$B$3,0)+IF(ISNUMBER(Z22),Parámetros!$B$4,0)+IF(ISNUMBER(AA22),Parámetros!$B$5,0)+IF(ISNUMBER(AB22),Parámetros!$B$6,0)+IF(ISNUMBER(AC22),Parámetros!$B$7,0)+IF(ISNUMBER(AD22),Parámetros!$B$8,0)+IF(ISNUMBER(AE22),Parámetros!$B$9,0)+IF(ISNUMBER(AF22),Parámetros!$B$10,0)+IF(ISNUMBER(AG22),Parámetros!$B$11,0)))</f>
        <v>82.6836917562724</v>
      </c>
      <c r="AJ22" s="47" t="n">
        <f aca="false">IF(AND(ISNUMBER(Y22),N(Y22)&lt;60),69.9,IF(OR(AND(ISNUMBER(AE22),N(AE22)&lt;80),AND(ISNUMBER(AC22),N(AC22)&lt;50,N(O22)&gt;=2)),84.9,100))</f>
        <v>100</v>
      </c>
      <c r="AK22" s="47" t="n">
        <f aca="false">IF(AI22="","",MIN(AI22,AJ22))</f>
        <v>82.6836917562724</v>
      </c>
      <c r="AL22" s="47" t="str">
        <f aca="false">IF($C22="","",IF(AK22="","Gris — menos de 3 fuentes",IF(AND(AK22&lt;Parámetros!$B$14,N22&lt;&gt;"",N(N22)&lt;Parámetros!$B$15,N(Y22)&gt;=60),"Gris — repetir observación",IF(AK22&gt;=Parámetros!$B$13,"Verde",IF(AK22&gt;=Parámetros!$B$14,"Amarillo","Rojo")))))</f>
        <v>Amarillo</v>
      </c>
      <c r="AM22" s="47" t="str">
        <f aca="false">IF($C22="","",IF(AND(ISNUMBER(Y22),N(Y22)&lt;60),"Ejecución &lt; 60 %: rojo automático",IF(AND(ISNUMBER(AE22),N(AE22)&lt;80),"PIAR &lt; 80 %: máximo amarillo",IF(AND(ISNUMBER(AC22),N(AC22)&lt;50,N(O22)&gt;=2),"Observación &lt; 50: máximo amarillo",IF(AND(N22&lt;&gt;"",N(N22)&lt;Parámetros!$B$15),"κ &lt; 0,60: observación descartada, repetir","")))))</f>
        <v/>
      </c>
    </row>
    <row r="23" customFormat="false" ht="15" hidden="false" customHeight="false" outlineLevel="0" collapsed="false">
      <c r="A23" s="46" t="n">
        <v>2028</v>
      </c>
      <c r="B23" s="46" t="n">
        <v>1</v>
      </c>
      <c r="C23" s="46" t="s">
        <v>151</v>
      </c>
      <c r="D23" s="46" t="s">
        <v>152</v>
      </c>
      <c r="E23" s="46" t="n">
        <v>10</v>
      </c>
      <c r="F23" s="46" t="n">
        <v>6</v>
      </c>
      <c r="G23" s="46" t="n">
        <v>10</v>
      </c>
      <c r="H23" s="46" t="n">
        <v>6</v>
      </c>
      <c r="I23" s="46" t="n">
        <v>6</v>
      </c>
      <c r="J23" s="46" t="n">
        <v>4</v>
      </c>
      <c r="K23" s="46" t="n">
        <v>12</v>
      </c>
      <c r="L23" s="46" t="n">
        <v>1.6</v>
      </c>
      <c r="M23" s="46" t="n">
        <v>3.1</v>
      </c>
      <c r="N23" s="46" t="n">
        <v>0.66</v>
      </c>
      <c r="O23" s="46" t="n">
        <v>2</v>
      </c>
      <c r="P23" s="46" t="n">
        <v>0.29</v>
      </c>
      <c r="Q23" s="46" t="n">
        <v>30</v>
      </c>
      <c r="R23" s="46"/>
      <c r="S23" s="46"/>
      <c r="T23" s="46" t="n">
        <v>3</v>
      </c>
      <c r="U23" s="46" t="n">
        <v>1</v>
      </c>
      <c r="V23" s="46" t="n">
        <v>3.8</v>
      </c>
      <c r="W23" s="46" t="n">
        <v>28</v>
      </c>
      <c r="X23" s="47" t="n">
        <f aca="false">IF(N(E23)&gt;0,MIN(100,F23/E23*100),"")</f>
        <v>60</v>
      </c>
      <c r="Y23" s="47" t="n">
        <f aca="false">IF(N(G23)&gt;0,MIN(100,H23/G23*100),"")</f>
        <v>60</v>
      </c>
      <c r="Z23" s="47" t="n">
        <f aca="false">IF(N(I23)&gt;0,MIN(100,J23/I23*100),"")</f>
        <v>66.6666666666667</v>
      </c>
      <c r="AA23" s="47" t="n">
        <f aca="false">IF(K23="","",K23/24*100)</f>
        <v>50</v>
      </c>
      <c r="AB23" s="47" t="n">
        <f aca="false">IF(L23="","",L23/3*100)</f>
        <v>53.3333333333333</v>
      </c>
      <c r="AC23" s="47" t="n">
        <f aca="false">IF(OR(M23="",AND(N23&lt;&gt;"",N(N23)&lt;Parámetros!$B$15)),"",MAX(0,MIN(100,(M23-1)/4*100)))</f>
        <v>52.5</v>
      </c>
      <c r="AD23" s="47" t="n">
        <f aca="false">IF(OR(P23="",N(Q23)=0),"",MAX(0,MIN(100,((Q23/(Q23+Parámetros!$B$16))*P23+(Parámetros!$B$16/(Q23+Parámetros!$B$16))*Parámetros!$B$17-0.1)/0.4*100)))</f>
        <v>48.125</v>
      </c>
      <c r="AE23" s="47" t="str">
        <f aca="false">IF(N(R23)&gt;0,MIN(100,S23/R23*100),"")</f>
        <v/>
      </c>
      <c r="AF23" s="47" t="n">
        <f aca="false">IF(N(U23)&gt;0,MIN(100,T23/(U23*5)*100),"")</f>
        <v>60</v>
      </c>
      <c r="AG23" s="47" t="n">
        <f aca="false">IF(OR(V23="",N(W23)&lt;10),"",(V23-1)/4*100)</f>
        <v>70</v>
      </c>
      <c r="AH23" s="47" t="n">
        <f aca="false">IF($C23="","",COUNT(X23:AG23))</f>
        <v>9</v>
      </c>
      <c r="AI23" s="47" t="n">
        <f aca="false">IF(OR($C23="",N(AH23)&lt;Parámetros!$B$18),"",(IF(ISNUMBER(X23),X23*Parámetros!$B$2,0)+IF(ISNUMBER(Y23),Y23*Parámetros!$B$3,0)+IF(ISNUMBER(Z23),Z23*Parámetros!$B$4,0)+IF(ISNUMBER(AA23),AA23*Parámetros!$B$5,0)+IF(ISNUMBER(AB23),AB23*Parámetros!$B$6,0)+IF(ISNUMBER(AC23),AC23*Parámetros!$B$7,0)+IF(ISNUMBER(AD23),AD23*Parámetros!$B$8,0)+IF(ISNUMBER(AE23),AE23*Parámetros!$B$9,0)+IF(ISNUMBER(AF23),AF23*Parámetros!$B$10,0)+IF(ISNUMBER(AG23),AG23*Parámetros!$B$11,0))/(IF(ISNUMBER(X23),Parámetros!$B$2,0)+IF(ISNUMBER(Y23),Parámetros!$B$3,0)+IF(ISNUMBER(Z23),Parámetros!$B$4,0)+IF(ISNUMBER(AA23),Parámetros!$B$5,0)+IF(ISNUMBER(AB23),Parámetros!$B$6,0)+IF(ISNUMBER(AC23),Parámetros!$B$7,0)+IF(ISNUMBER(AD23),Parámetros!$B$8,0)+IF(ISNUMBER(AE23),Parámetros!$B$9,0)+IF(ISNUMBER(AF23),Parámetros!$B$10,0)+IF(ISNUMBER(AG23),Parámetros!$B$11,0)))</f>
        <v>55.7986111111111</v>
      </c>
      <c r="AJ23" s="47" t="n">
        <f aca="false">IF(AND(ISNUMBER(Y23),N(Y23)&lt;60),69.9,IF(OR(AND(ISNUMBER(AE23),N(AE23)&lt;80),AND(ISNUMBER(AC23),N(AC23)&lt;50,N(O23)&gt;=2)),84.9,100))</f>
        <v>100</v>
      </c>
      <c r="AK23" s="47" t="n">
        <f aca="false">IF(AI23="","",MIN(AI23,AJ23))</f>
        <v>55.7986111111111</v>
      </c>
      <c r="AL23" s="47" t="str">
        <f aca="false">IF($C23="","",IF(AK23="","Gris — menos de 3 fuentes",IF(AND(AK23&lt;Parámetros!$B$14,N23&lt;&gt;"",N(N23)&lt;Parámetros!$B$15,N(Y23)&gt;=60),"Gris — repetir observación",IF(AK23&gt;=Parámetros!$B$13,"Verde",IF(AK23&gt;=Parámetros!$B$14,"Amarillo","Rojo")))))</f>
        <v>Rojo</v>
      </c>
      <c r="AM23" s="47" t="str">
        <f aca="false">IF($C23="","",IF(AND(ISNUMBER(Y23),N(Y23)&lt;60),"Ejecución &lt; 60 %: rojo automático",IF(AND(ISNUMBER(AE23),N(AE23)&lt;80),"PIAR &lt; 80 %: máximo amarillo",IF(AND(ISNUMBER(AC23),N(AC23)&lt;50,N(O23)&gt;=2),"Observación &lt; 50: máximo amarillo",IF(AND(N23&lt;&gt;"",N(N23)&lt;Parámetros!$B$15),"κ &lt; 0,60: observación descartada, repetir","")))))</f>
        <v/>
      </c>
    </row>
    <row r="24" customFormat="false" ht="15" hidden="false" customHeight="false" outlineLevel="0" collapsed="false">
      <c r="A24" s="46" t="n">
        <v>2028</v>
      </c>
      <c r="B24" s="46" t="n">
        <v>1</v>
      </c>
      <c r="C24" s="46" t="s">
        <v>153</v>
      </c>
      <c r="D24" s="46" t="s">
        <v>154</v>
      </c>
      <c r="E24" s="46" t="n">
        <v>10</v>
      </c>
      <c r="F24" s="46" t="n">
        <v>10</v>
      </c>
      <c r="G24" s="46" t="n">
        <v>10</v>
      </c>
      <c r="H24" s="46" t="n">
        <v>10</v>
      </c>
      <c r="I24" s="46" t="n">
        <v>6</v>
      </c>
      <c r="J24" s="46" t="n">
        <v>6</v>
      </c>
      <c r="K24" s="46" t="n">
        <v>23</v>
      </c>
      <c r="L24" s="46" t="n">
        <v>2.8</v>
      </c>
      <c r="M24" s="46" t="n">
        <v>4.6</v>
      </c>
      <c r="N24" s="46" t="n">
        <v>0.91</v>
      </c>
      <c r="O24" s="46" t="n">
        <v>2</v>
      </c>
      <c r="P24" s="46" t="n">
        <v>0.56</v>
      </c>
      <c r="Q24" s="46" t="n">
        <v>21</v>
      </c>
      <c r="R24" s="46" t="n">
        <v>6</v>
      </c>
      <c r="S24" s="46" t="n">
        <v>6</v>
      </c>
      <c r="T24" s="46" t="n">
        <v>5</v>
      </c>
      <c r="U24" s="46" t="n">
        <v>1</v>
      </c>
      <c r="V24" s="46" t="n">
        <v>4.6</v>
      </c>
      <c r="W24" s="46" t="n">
        <v>26</v>
      </c>
      <c r="X24" s="47" t="n">
        <f aca="false">IF(N(E24)&gt;0,MIN(100,F24/E24*100),"")</f>
        <v>100</v>
      </c>
      <c r="Y24" s="47" t="n">
        <f aca="false">IF(N(G24)&gt;0,MIN(100,H24/G24*100),"")</f>
        <v>100</v>
      </c>
      <c r="Z24" s="47" t="n">
        <f aca="false">IF(N(I24)&gt;0,MIN(100,J24/I24*100),"")</f>
        <v>100</v>
      </c>
      <c r="AA24" s="47" t="n">
        <f aca="false">IF(K24="","",K24/24*100)</f>
        <v>95.8333333333333</v>
      </c>
      <c r="AB24" s="47" t="n">
        <f aca="false">IF(L24="","",L24/3*100)</f>
        <v>93.3333333333333</v>
      </c>
      <c r="AC24" s="47" t="n">
        <f aca="false">IF(OR(M24="",AND(N24&lt;&gt;"",N(N24)&lt;Parámetros!$B$15)),"",MAX(0,MIN(100,(M24-1)/4*100)))</f>
        <v>90</v>
      </c>
      <c r="AD24" s="47" t="n">
        <f aca="false">IF(OR(P24="",N(Q24)=0),"",MAX(0,MIN(100,((Q24/(Q24+Parámetros!$B$16))*P24+(Parámetros!$B$16/(Q24+Parámetros!$B$16))*Parámetros!$B$17-0.1)/0.4*100)))</f>
        <v>94.0322580645162</v>
      </c>
      <c r="AE24" s="47" t="n">
        <f aca="false">IF(N(R24)&gt;0,MIN(100,S24/R24*100),"")</f>
        <v>100</v>
      </c>
      <c r="AF24" s="47" t="n">
        <f aca="false">IF(N(U24)&gt;0,MIN(100,T24/(U24*5)*100),"")</f>
        <v>100</v>
      </c>
      <c r="AG24" s="47" t="n">
        <f aca="false">IF(OR(V24="",N(W24)&lt;10),"",(V24-1)/4*100)</f>
        <v>90</v>
      </c>
      <c r="AH24" s="47" t="n">
        <f aca="false">IF($C24="","",COUNT(X24:AG24))</f>
        <v>10</v>
      </c>
      <c r="AI24" s="47" t="n">
        <f aca="false">IF(OR($C24="",N(AH24)&lt;Parámetros!$B$18),"",(IF(ISNUMBER(X24),X24*Parámetros!$B$2,0)+IF(ISNUMBER(Y24),Y24*Parámetros!$B$3,0)+IF(ISNUMBER(Z24),Z24*Parámetros!$B$4,0)+IF(ISNUMBER(AA24),AA24*Parámetros!$B$5,0)+IF(ISNUMBER(AB24),AB24*Parámetros!$B$6,0)+IF(ISNUMBER(AC24),AC24*Parámetros!$B$7,0)+IF(ISNUMBER(AD24),AD24*Parámetros!$B$8,0)+IF(ISNUMBER(AE24),AE24*Parámetros!$B$9,0)+IF(ISNUMBER(AF24),AF24*Parámetros!$B$10,0)+IF(ISNUMBER(AG24),AG24*Parámetros!$B$11,0))/(IF(ISNUMBER(X24),Parámetros!$B$2,0)+IF(ISNUMBER(Y24),Parámetros!$B$3,0)+IF(ISNUMBER(Z24),Parámetros!$B$4,0)+IF(ISNUMBER(AA24),Parámetros!$B$5,0)+IF(ISNUMBER(AB24),Parámetros!$B$6,0)+IF(ISNUMBER(AC24),Parámetros!$B$7,0)+IF(ISNUMBER(AD24),Parámetros!$B$8,0)+IF(ISNUMBER(AE24),Parámetros!$B$9,0)+IF(ISNUMBER(AF24),Parámetros!$B$10,0)+IF(ISNUMBER(AG24),Parámetros!$B$11,0)))</f>
        <v>95.5215053763441</v>
      </c>
      <c r="AJ24" s="47" t="n">
        <f aca="false">IF(AND(ISNUMBER(Y24),N(Y24)&lt;60),69.9,IF(OR(AND(ISNUMBER(AE24),N(AE24)&lt;80),AND(ISNUMBER(AC24),N(AC24)&lt;50,N(O24)&gt;=2)),84.9,100))</f>
        <v>100</v>
      </c>
      <c r="AK24" s="47" t="n">
        <f aca="false">IF(AI24="","",MIN(AI24,AJ24))</f>
        <v>95.5215053763441</v>
      </c>
      <c r="AL24" s="47" t="str">
        <f aca="false">IF($C24="","",IF(AK24="","Gris — menos de 3 fuentes",IF(AND(AK24&lt;Parámetros!$B$14,N24&lt;&gt;"",N(N24)&lt;Parámetros!$B$15,N(Y24)&gt;=60),"Gris — repetir observación",IF(AK24&gt;=Parámetros!$B$13,"Verde",IF(AK24&gt;=Parámetros!$B$14,"Amarillo","Rojo")))))</f>
        <v>Verde</v>
      </c>
      <c r="AM24" s="47" t="str">
        <f aca="false">IF($C24="","",IF(AND(ISNUMBER(Y24),N(Y24)&lt;60),"Ejecución &lt; 60 %: rojo automático",IF(AND(ISNUMBER(AE24),N(AE24)&lt;80),"PIAR &lt; 80 %: máximo amarillo",IF(AND(ISNUMBER(AC24),N(AC24)&lt;50,N(O24)&gt;=2),"Observación &lt; 50: máximo amarillo",IF(AND(N24&lt;&gt;"",N(N24)&lt;Parámetros!$B$15),"κ &lt; 0,60: observación descartada, repetir","")))))</f>
        <v/>
      </c>
    </row>
    <row r="25" customFormat="false" ht="15" hidden="false" customHeight="false" outlineLevel="0" collapsed="false">
      <c r="A25" s="46" t="n">
        <v>2028</v>
      </c>
      <c r="B25" s="46" t="n">
        <v>1</v>
      </c>
      <c r="C25" s="46" t="s">
        <v>155</v>
      </c>
      <c r="D25" s="46" t="s">
        <v>156</v>
      </c>
      <c r="E25" s="46" t="n">
        <v>10</v>
      </c>
      <c r="F25" s="46" t="n">
        <v>9</v>
      </c>
      <c r="G25" s="46" t="n">
        <v>10</v>
      </c>
      <c r="H25" s="46" t="n">
        <v>8</v>
      </c>
      <c r="I25" s="46" t="n">
        <v>6</v>
      </c>
      <c r="J25" s="46" t="n">
        <v>5</v>
      </c>
      <c r="K25" s="46" t="n">
        <v>18</v>
      </c>
      <c r="L25" s="46" t="n">
        <v>2.2</v>
      </c>
      <c r="M25" s="46" t="n">
        <v>4</v>
      </c>
      <c r="N25" s="46" t="n">
        <v>0.77</v>
      </c>
      <c r="O25" s="46" t="n">
        <v>2</v>
      </c>
      <c r="P25" s="46" t="n">
        <v>0.51</v>
      </c>
      <c r="Q25" s="46" t="n">
        <v>22</v>
      </c>
      <c r="R25" s="46"/>
      <c r="S25" s="46"/>
      <c r="T25" s="46" t="n">
        <v>4</v>
      </c>
      <c r="U25" s="46" t="n">
        <v>1</v>
      </c>
      <c r="V25" s="46" t="n">
        <v>4.2</v>
      </c>
      <c r="W25" s="46" t="n">
        <v>22</v>
      </c>
      <c r="X25" s="47" t="n">
        <f aca="false">IF(N(E25)&gt;0,MIN(100,F25/E25*100),"")</f>
        <v>90</v>
      </c>
      <c r="Y25" s="47" t="n">
        <f aca="false">IF(N(G25)&gt;0,MIN(100,H25/G25*100),"")</f>
        <v>80</v>
      </c>
      <c r="Z25" s="47" t="n">
        <f aca="false">IF(N(I25)&gt;0,MIN(100,J25/I25*100),"")</f>
        <v>83.3333333333333</v>
      </c>
      <c r="AA25" s="47" t="n">
        <f aca="false">IF(K25="","",K25/24*100)</f>
        <v>75</v>
      </c>
      <c r="AB25" s="47" t="n">
        <f aca="false">IF(L25="","",L25/3*100)</f>
        <v>73.3333333333333</v>
      </c>
      <c r="AC25" s="47" t="n">
        <f aca="false">IF(OR(M25="",AND(N25&lt;&gt;"",N(N25)&lt;Parámetros!$B$15)),"",MAX(0,MIN(100,(M25-1)/4*100)))</f>
        <v>75</v>
      </c>
      <c r="AD25" s="47" t="n">
        <f aca="false">IF(OR(P25="",N(Q25)=0),"",MAX(0,MIN(100,((Q25/(Q25+Parámetros!$B$16))*P25+(Parámetros!$B$16/(Q25+Parámetros!$B$16))*Parámetros!$B$17-0.1)/0.4*100)))</f>
        <v>86.09375</v>
      </c>
      <c r="AE25" s="47" t="str">
        <f aca="false">IF(N(R25)&gt;0,MIN(100,S25/R25*100),"")</f>
        <v/>
      </c>
      <c r="AF25" s="47" t="n">
        <f aca="false">IF(N(U25)&gt;0,MIN(100,T25/(U25*5)*100),"")</f>
        <v>80</v>
      </c>
      <c r="AG25" s="47" t="n">
        <f aca="false">IF(OR(V25="",N(W25)&lt;10),"",(V25-1)/4*100)</f>
        <v>80</v>
      </c>
      <c r="AH25" s="47" t="n">
        <f aca="false">IF($C25="","",COUNT(X25:AG25))</f>
        <v>9</v>
      </c>
      <c r="AI25" s="47" t="n">
        <f aca="false">IF(OR($C25="",N(AH25)&lt;Parámetros!$B$18),"",(IF(ISNUMBER(X25),X25*Parámetros!$B$2,0)+IF(ISNUMBER(Y25),Y25*Parámetros!$B$3,0)+IF(ISNUMBER(Z25),Z25*Parámetros!$B$4,0)+IF(ISNUMBER(AA25),AA25*Parámetros!$B$5,0)+IF(ISNUMBER(AB25),AB25*Parámetros!$B$6,0)+IF(ISNUMBER(AC25),AC25*Parámetros!$B$7,0)+IF(ISNUMBER(AD25),AD25*Parámetros!$B$8,0)+IF(ISNUMBER(AE25),AE25*Parámetros!$B$9,0)+IF(ISNUMBER(AF25),AF25*Parámetros!$B$10,0)+IF(ISNUMBER(AG25),AG25*Parámetros!$B$11,0))/(IF(ISNUMBER(X25),Parámetros!$B$2,0)+IF(ISNUMBER(Y25),Parámetros!$B$3,0)+IF(ISNUMBER(Z25),Parámetros!$B$4,0)+IF(ISNUMBER(AA25),Parámetros!$B$5,0)+IF(ISNUMBER(AB25),Parámetros!$B$6,0)+IF(ISNUMBER(AC25),Parámetros!$B$7,0)+IF(ISNUMBER(AD25),Parámetros!$B$8,0)+IF(ISNUMBER(AE25),Parámetros!$B$9,0)+IF(ISNUMBER(AF25),Parámetros!$B$10,0)+IF(ISNUMBER(AG25),Parámetros!$B$11,0)))</f>
        <v>79.5341435185185</v>
      </c>
      <c r="AJ25" s="47" t="n">
        <f aca="false">IF(AND(ISNUMBER(Y25),N(Y25)&lt;60),69.9,IF(OR(AND(ISNUMBER(AE25),N(AE25)&lt;80),AND(ISNUMBER(AC25),N(AC25)&lt;50,N(O25)&gt;=2)),84.9,100))</f>
        <v>100</v>
      </c>
      <c r="AK25" s="47" t="n">
        <f aca="false">IF(AI25="","",MIN(AI25,AJ25))</f>
        <v>79.5341435185185</v>
      </c>
      <c r="AL25" s="47" t="str">
        <f aca="false">IF($C25="","",IF(AK25="","Gris — menos de 3 fuentes",IF(AND(AK25&lt;Parámetros!$B$14,N25&lt;&gt;"",N(N25)&lt;Parámetros!$B$15,N(Y25)&gt;=60),"Gris — repetir observación",IF(AK25&gt;=Parámetros!$B$13,"Verde",IF(AK25&gt;=Parámetros!$B$14,"Amarillo","Rojo")))))</f>
        <v>Amarillo</v>
      </c>
      <c r="AM25" s="47" t="str">
        <f aca="false">IF($C25="","",IF(AND(ISNUMBER(Y25),N(Y25)&lt;60),"Ejecución &lt; 60 %: rojo automático",IF(AND(ISNUMBER(AE25),N(AE25)&lt;80),"PIAR &lt; 80 %: máximo amarillo",IF(AND(ISNUMBER(AC25),N(AC25)&lt;50,N(O25)&gt;=2),"Observación &lt; 50: máximo amarillo",IF(AND(N25&lt;&gt;"",N(N25)&lt;Parámetros!$B$15),"κ &lt; 0,60: observación descartada, repetir","")))))</f>
        <v/>
      </c>
    </row>
    <row r="26" customFormat="false" ht="15" hidden="false" customHeight="false" outlineLevel="0" collapsed="false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7" t="str">
        <f aca="false">IF(N(E26)&gt;0,MIN(100,F26/E26*100),"")</f>
        <v/>
      </c>
      <c r="Y26" s="47" t="str">
        <f aca="false">IF(N(G26)&gt;0,MIN(100,H26/G26*100),"")</f>
        <v/>
      </c>
      <c r="Z26" s="47" t="str">
        <f aca="false">IF(N(I26)&gt;0,MIN(100,J26/I26*100),"")</f>
        <v/>
      </c>
      <c r="AA26" s="47" t="str">
        <f aca="false">IF(K26="","",K26/24*100)</f>
        <v/>
      </c>
      <c r="AB26" s="47" t="str">
        <f aca="false">IF(L26="","",L26/3*100)</f>
        <v/>
      </c>
      <c r="AC26" s="47" t="str">
        <f aca="false">IF(OR(M26="",AND(N26&lt;&gt;"",N(N26)&lt;Parámetros!$B$15)),"",MAX(0,MIN(100,(M26-1)/4*100)))</f>
        <v/>
      </c>
      <c r="AD26" s="47" t="str">
        <f aca="false">IF(OR(P26="",N(Q26)=0),"",MAX(0,MIN(100,((Q26/(Q26+Parámetros!$B$16))*P26+(Parámetros!$B$16/(Q26+Parámetros!$B$16))*Parámetros!$B$17-0.1)/0.4*100)))</f>
        <v/>
      </c>
      <c r="AE26" s="47" t="str">
        <f aca="false">IF(N(R26)&gt;0,MIN(100,S26/R26*100),"")</f>
        <v/>
      </c>
      <c r="AF26" s="47" t="str">
        <f aca="false">IF(N(U26)&gt;0,MIN(100,T26/(U26*5)*100),"")</f>
        <v/>
      </c>
      <c r="AG26" s="47" t="str">
        <f aca="false">IF(OR(V26="",N(W26)&lt;10),"",(V26-1)/4*100)</f>
        <v/>
      </c>
      <c r="AH26" s="47" t="str">
        <f aca="false">IF($C26="","",COUNT(X26:AG26))</f>
        <v/>
      </c>
      <c r="AI26" s="47" t="str">
        <f aca="false">IF(OR($C26="",N(AH26)&lt;Parámetros!$B$18),"",(IF(ISNUMBER(X26),X26*Parámetros!$B$2,0)+IF(ISNUMBER(Y26),Y26*Parámetros!$B$3,0)+IF(ISNUMBER(Z26),Z26*Parámetros!$B$4,0)+IF(ISNUMBER(AA26),AA26*Parámetros!$B$5,0)+IF(ISNUMBER(AB26),AB26*Parámetros!$B$6,0)+IF(ISNUMBER(AC26),AC26*Parámetros!$B$7,0)+IF(ISNUMBER(AD26),AD26*Parámetros!$B$8,0)+IF(ISNUMBER(AE26),AE26*Parámetros!$B$9,0)+IF(ISNUMBER(AF26),AF26*Parámetros!$B$10,0)+IF(ISNUMBER(AG26),AG26*Parámetros!$B$11,0))/(IF(ISNUMBER(X26),Parámetros!$B$2,0)+IF(ISNUMBER(Y26),Parámetros!$B$3,0)+IF(ISNUMBER(Z26),Parámetros!$B$4,0)+IF(ISNUMBER(AA26),Parámetros!$B$5,0)+IF(ISNUMBER(AB26),Parámetros!$B$6,0)+IF(ISNUMBER(AC26),Parámetros!$B$7,0)+IF(ISNUMBER(AD26),Parámetros!$B$8,0)+IF(ISNUMBER(AE26),Parámetros!$B$9,0)+IF(ISNUMBER(AF26),Parámetros!$B$10,0)+IF(ISNUMBER(AG26),Parámetros!$B$11,0)))</f>
        <v/>
      </c>
      <c r="AJ26" s="47" t="n">
        <f aca="false">IF(AND(ISNUMBER(Y26),N(Y26)&lt;60),69.9,IF(OR(AND(ISNUMBER(AE26),N(AE26)&lt;80),AND(ISNUMBER(AC26),N(AC26)&lt;50,N(O26)&gt;=2)),84.9,100))</f>
        <v>100</v>
      </c>
      <c r="AK26" s="47" t="str">
        <f aca="false">IF(AI26="","",MIN(AI26,AJ26))</f>
        <v/>
      </c>
      <c r="AL26" s="47" t="str">
        <f aca="false">IF($C26="","",IF(AK26="","Gris — menos de 3 fuentes",IF(AND(AK26&lt;Parámetros!$B$14,N26&lt;&gt;"",N(N26)&lt;Parámetros!$B$15,N(Y26)&gt;=60),"Gris — repetir observación",IF(AK26&gt;=Parámetros!$B$13,"Verde",IF(AK26&gt;=Parámetros!$B$14,"Amarillo","Rojo")))))</f>
        <v/>
      </c>
      <c r="AM26" s="47" t="str">
        <f aca="false">IF($C26="","",IF(AND(ISNUMBER(Y26),N(Y26)&lt;60),"Ejecución &lt; 60 %: rojo automático",IF(AND(ISNUMBER(AE26),N(AE26)&lt;80),"PIAR &lt; 80 %: máximo amarillo",IF(AND(ISNUMBER(AC26),N(AC26)&lt;50,N(O26)&gt;=2),"Observación &lt; 50: máximo amarillo",IF(AND(N26&lt;&gt;"",N(N26)&lt;Parámetros!$B$15),"κ &lt; 0,60: observación descartada, repetir","")))))</f>
        <v/>
      </c>
    </row>
    <row r="27" customFormat="false" ht="15" hidden="false" customHeight="false" outlineLevel="0" collapsed="false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7" t="str">
        <f aca="false">IF(N(E27)&gt;0,MIN(100,F27/E27*100),"")</f>
        <v/>
      </c>
      <c r="Y27" s="47" t="str">
        <f aca="false">IF(N(G27)&gt;0,MIN(100,H27/G27*100),"")</f>
        <v/>
      </c>
      <c r="Z27" s="47" t="str">
        <f aca="false">IF(N(I27)&gt;0,MIN(100,J27/I27*100),"")</f>
        <v/>
      </c>
      <c r="AA27" s="47" t="str">
        <f aca="false">IF(K27="","",K27/24*100)</f>
        <v/>
      </c>
      <c r="AB27" s="47" t="str">
        <f aca="false">IF(L27="","",L27/3*100)</f>
        <v/>
      </c>
      <c r="AC27" s="47" t="str">
        <f aca="false">IF(OR(M27="",AND(N27&lt;&gt;"",N(N27)&lt;Parámetros!$B$15)),"",MAX(0,MIN(100,(M27-1)/4*100)))</f>
        <v/>
      </c>
      <c r="AD27" s="47" t="str">
        <f aca="false">IF(OR(P27="",N(Q27)=0),"",MAX(0,MIN(100,((Q27/(Q27+Parámetros!$B$16))*P27+(Parámetros!$B$16/(Q27+Parámetros!$B$16))*Parámetros!$B$17-0.1)/0.4*100)))</f>
        <v/>
      </c>
      <c r="AE27" s="47" t="str">
        <f aca="false">IF(N(R27)&gt;0,MIN(100,S27/R27*100),"")</f>
        <v/>
      </c>
      <c r="AF27" s="47" t="str">
        <f aca="false">IF(N(U27)&gt;0,MIN(100,T27/(U27*5)*100),"")</f>
        <v/>
      </c>
      <c r="AG27" s="47" t="str">
        <f aca="false">IF(OR(V27="",N(W27)&lt;10),"",(V27-1)/4*100)</f>
        <v/>
      </c>
      <c r="AH27" s="47" t="str">
        <f aca="false">IF($C27="","",COUNT(X27:AG27))</f>
        <v/>
      </c>
      <c r="AI27" s="47" t="str">
        <f aca="false">IF(OR($C27="",N(AH27)&lt;Parámetros!$B$18),"",(IF(ISNUMBER(X27),X27*Parámetros!$B$2,0)+IF(ISNUMBER(Y27),Y27*Parámetros!$B$3,0)+IF(ISNUMBER(Z27),Z27*Parámetros!$B$4,0)+IF(ISNUMBER(AA27),AA27*Parámetros!$B$5,0)+IF(ISNUMBER(AB27),AB27*Parámetros!$B$6,0)+IF(ISNUMBER(AC27),AC27*Parámetros!$B$7,0)+IF(ISNUMBER(AD27),AD27*Parámetros!$B$8,0)+IF(ISNUMBER(AE27),AE27*Parámetros!$B$9,0)+IF(ISNUMBER(AF27),AF27*Parámetros!$B$10,0)+IF(ISNUMBER(AG27),AG27*Parámetros!$B$11,0))/(IF(ISNUMBER(X27),Parámetros!$B$2,0)+IF(ISNUMBER(Y27),Parámetros!$B$3,0)+IF(ISNUMBER(Z27),Parámetros!$B$4,0)+IF(ISNUMBER(AA27),Parámetros!$B$5,0)+IF(ISNUMBER(AB27),Parámetros!$B$6,0)+IF(ISNUMBER(AC27),Parámetros!$B$7,0)+IF(ISNUMBER(AD27),Parámetros!$B$8,0)+IF(ISNUMBER(AE27),Parámetros!$B$9,0)+IF(ISNUMBER(AF27),Parámetros!$B$10,0)+IF(ISNUMBER(AG27),Parámetros!$B$11,0)))</f>
        <v/>
      </c>
      <c r="AJ27" s="47" t="n">
        <f aca="false">IF(AND(ISNUMBER(Y27),N(Y27)&lt;60),69.9,IF(OR(AND(ISNUMBER(AE27),N(AE27)&lt;80),AND(ISNUMBER(AC27),N(AC27)&lt;50,N(O27)&gt;=2)),84.9,100))</f>
        <v>100</v>
      </c>
      <c r="AK27" s="47" t="str">
        <f aca="false">IF(AI27="","",MIN(AI27,AJ27))</f>
        <v/>
      </c>
      <c r="AL27" s="47" t="str">
        <f aca="false">IF($C27="","",IF(AK27="","Gris — menos de 3 fuentes",IF(AND(AK27&lt;Parámetros!$B$14,N27&lt;&gt;"",N(N27)&lt;Parámetros!$B$15,N(Y27)&gt;=60),"Gris — repetir observación",IF(AK27&gt;=Parámetros!$B$13,"Verde",IF(AK27&gt;=Parámetros!$B$14,"Amarillo","Rojo")))))</f>
        <v/>
      </c>
      <c r="AM27" s="47" t="str">
        <f aca="false">IF($C27="","",IF(AND(ISNUMBER(Y27),N(Y27)&lt;60),"Ejecución &lt; 60 %: rojo automático",IF(AND(ISNUMBER(AE27),N(AE27)&lt;80),"PIAR &lt; 80 %: máximo amarillo",IF(AND(ISNUMBER(AC27),N(AC27)&lt;50,N(O27)&gt;=2),"Observación &lt; 50: máximo amarillo",IF(AND(N27&lt;&gt;"",N(N27)&lt;Parámetros!$B$15),"κ &lt; 0,60: observación descartada, repetir","")))))</f>
        <v/>
      </c>
    </row>
    <row r="28" customFormat="false" ht="15" hidden="false" customHeight="fals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7" t="str">
        <f aca="false">IF(N(E28)&gt;0,MIN(100,F28/E28*100),"")</f>
        <v/>
      </c>
      <c r="Y28" s="47" t="str">
        <f aca="false">IF(N(G28)&gt;0,MIN(100,H28/G28*100),"")</f>
        <v/>
      </c>
      <c r="Z28" s="47" t="str">
        <f aca="false">IF(N(I28)&gt;0,MIN(100,J28/I28*100),"")</f>
        <v/>
      </c>
      <c r="AA28" s="47" t="str">
        <f aca="false">IF(K28="","",K28/24*100)</f>
        <v/>
      </c>
      <c r="AB28" s="47" t="str">
        <f aca="false">IF(L28="","",L28/3*100)</f>
        <v/>
      </c>
      <c r="AC28" s="47" t="str">
        <f aca="false">IF(OR(M28="",AND(N28&lt;&gt;"",N(N28)&lt;Parámetros!$B$15)),"",MAX(0,MIN(100,(M28-1)/4*100)))</f>
        <v/>
      </c>
      <c r="AD28" s="47" t="str">
        <f aca="false">IF(OR(P28="",N(Q28)=0),"",MAX(0,MIN(100,((Q28/(Q28+Parámetros!$B$16))*P28+(Parámetros!$B$16/(Q28+Parámetros!$B$16))*Parámetros!$B$17-0.1)/0.4*100)))</f>
        <v/>
      </c>
      <c r="AE28" s="47" t="str">
        <f aca="false">IF(N(R28)&gt;0,MIN(100,S28/R28*100),"")</f>
        <v/>
      </c>
      <c r="AF28" s="47" t="str">
        <f aca="false">IF(N(U28)&gt;0,MIN(100,T28/(U28*5)*100),"")</f>
        <v/>
      </c>
      <c r="AG28" s="47" t="str">
        <f aca="false">IF(OR(V28="",N(W28)&lt;10),"",(V28-1)/4*100)</f>
        <v/>
      </c>
      <c r="AH28" s="47" t="str">
        <f aca="false">IF($C28="","",COUNT(X28:AG28))</f>
        <v/>
      </c>
      <c r="AI28" s="47" t="str">
        <f aca="false">IF(OR($C28="",N(AH28)&lt;Parámetros!$B$18),"",(IF(ISNUMBER(X28),X28*Parámetros!$B$2,0)+IF(ISNUMBER(Y28),Y28*Parámetros!$B$3,0)+IF(ISNUMBER(Z28),Z28*Parámetros!$B$4,0)+IF(ISNUMBER(AA28),AA28*Parámetros!$B$5,0)+IF(ISNUMBER(AB28),AB28*Parámetros!$B$6,0)+IF(ISNUMBER(AC28),AC28*Parámetros!$B$7,0)+IF(ISNUMBER(AD28),AD28*Parámetros!$B$8,0)+IF(ISNUMBER(AE28),AE28*Parámetros!$B$9,0)+IF(ISNUMBER(AF28),AF28*Parámetros!$B$10,0)+IF(ISNUMBER(AG28),AG28*Parámetros!$B$11,0))/(IF(ISNUMBER(X28),Parámetros!$B$2,0)+IF(ISNUMBER(Y28),Parámetros!$B$3,0)+IF(ISNUMBER(Z28),Parámetros!$B$4,0)+IF(ISNUMBER(AA28),Parámetros!$B$5,0)+IF(ISNUMBER(AB28),Parámetros!$B$6,0)+IF(ISNUMBER(AC28),Parámetros!$B$7,0)+IF(ISNUMBER(AD28),Parámetros!$B$8,0)+IF(ISNUMBER(AE28),Parámetros!$B$9,0)+IF(ISNUMBER(AF28),Parámetros!$B$10,0)+IF(ISNUMBER(AG28),Parámetros!$B$11,0)))</f>
        <v/>
      </c>
      <c r="AJ28" s="47" t="n">
        <f aca="false">IF(AND(ISNUMBER(Y28),N(Y28)&lt;60),69.9,IF(OR(AND(ISNUMBER(AE28),N(AE28)&lt;80),AND(ISNUMBER(AC28),N(AC28)&lt;50,N(O28)&gt;=2)),84.9,100))</f>
        <v>100</v>
      </c>
      <c r="AK28" s="47" t="str">
        <f aca="false">IF(AI28="","",MIN(AI28,AJ28))</f>
        <v/>
      </c>
      <c r="AL28" s="47" t="str">
        <f aca="false">IF($C28="","",IF(AK28="","Gris — menos de 3 fuentes",IF(AND(AK28&lt;Parámetros!$B$14,N28&lt;&gt;"",N(N28)&lt;Parámetros!$B$15,N(Y28)&gt;=60),"Gris — repetir observación",IF(AK28&gt;=Parámetros!$B$13,"Verde",IF(AK28&gt;=Parámetros!$B$14,"Amarillo","Rojo")))))</f>
        <v/>
      </c>
      <c r="AM28" s="47" t="str">
        <f aca="false">IF($C28="","",IF(AND(ISNUMBER(Y28),N(Y28)&lt;60),"Ejecución &lt; 60 %: rojo automático",IF(AND(ISNUMBER(AE28),N(AE28)&lt;80),"PIAR &lt; 80 %: máximo amarillo",IF(AND(ISNUMBER(AC28),N(AC28)&lt;50,N(O28)&gt;=2),"Observación &lt; 50: máximo amarillo",IF(AND(N28&lt;&gt;"",N(N28)&lt;Parámetros!$B$15),"κ &lt; 0,60: observación descartada, repetir","")))))</f>
        <v/>
      </c>
    </row>
    <row r="29" customFormat="false" ht="15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7" t="str">
        <f aca="false">IF(N(E29)&gt;0,MIN(100,F29/E29*100),"")</f>
        <v/>
      </c>
      <c r="Y29" s="47" t="str">
        <f aca="false">IF(N(G29)&gt;0,MIN(100,H29/G29*100),"")</f>
        <v/>
      </c>
      <c r="Z29" s="47" t="str">
        <f aca="false">IF(N(I29)&gt;0,MIN(100,J29/I29*100),"")</f>
        <v/>
      </c>
      <c r="AA29" s="47" t="str">
        <f aca="false">IF(K29="","",K29/24*100)</f>
        <v/>
      </c>
      <c r="AB29" s="47" t="str">
        <f aca="false">IF(L29="","",L29/3*100)</f>
        <v/>
      </c>
      <c r="AC29" s="47" t="str">
        <f aca="false">IF(OR(M29="",AND(N29&lt;&gt;"",N(N29)&lt;Parámetros!$B$15)),"",MAX(0,MIN(100,(M29-1)/4*100)))</f>
        <v/>
      </c>
      <c r="AD29" s="47" t="str">
        <f aca="false">IF(OR(P29="",N(Q29)=0),"",MAX(0,MIN(100,((Q29/(Q29+Parámetros!$B$16))*P29+(Parámetros!$B$16/(Q29+Parámetros!$B$16))*Parámetros!$B$17-0.1)/0.4*100)))</f>
        <v/>
      </c>
      <c r="AE29" s="47" t="str">
        <f aca="false">IF(N(R29)&gt;0,MIN(100,S29/R29*100),"")</f>
        <v/>
      </c>
      <c r="AF29" s="47" t="str">
        <f aca="false">IF(N(U29)&gt;0,MIN(100,T29/(U29*5)*100),"")</f>
        <v/>
      </c>
      <c r="AG29" s="47" t="str">
        <f aca="false">IF(OR(V29="",N(W29)&lt;10),"",(V29-1)/4*100)</f>
        <v/>
      </c>
      <c r="AH29" s="47" t="str">
        <f aca="false">IF($C29="","",COUNT(X29:AG29))</f>
        <v/>
      </c>
      <c r="AI29" s="47" t="str">
        <f aca="false">IF(OR($C29="",N(AH29)&lt;Parámetros!$B$18),"",(IF(ISNUMBER(X29),X29*Parámetros!$B$2,0)+IF(ISNUMBER(Y29),Y29*Parámetros!$B$3,0)+IF(ISNUMBER(Z29),Z29*Parámetros!$B$4,0)+IF(ISNUMBER(AA29),AA29*Parámetros!$B$5,0)+IF(ISNUMBER(AB29),AB29*Parámetros!$B$6,0)+IF(ISNUMBER(AC29),AC29*Parámetros!$B$7,0)+IF(ISNUMBER(AD29),AD29*Parámetros!$B$8,0)+IF(ISNUMBER(AE29),AE29*Parámetros!$B$9,0)+IF(ISNUMBER(AF29),AF29*Parámetros!$B$10,0)+IF(ISNUMBER(AG29),AG29*Parámetros!$B$11,0))/(IF(ISNUMBER(X29),Parámetros!$B$2,0)+IF(ISNUMBER(Y29),Parámetros!$B$3,0)+IF(ISNUMBER(Z29),Parámetros!$B$4,0)+IF(ISNUMBER(AA29),Parámetros!$B$5,0)+IF(ISNUMBER(AB29),Parámetros!$B$6,0)+IF(ISNUMBER(AC29),Parámetros!$B$7,0)+IF(ISNUMBER(AD29),Parámetros!$B$8,0)+IF(ISNUMBER(AE29),Parámetros!$B$9,0)+IF(ISNUMBER(AF29),Parámetros!$B$10,0)+IF(ISNUMBER(AG29),Parámetros!$B$11,0)))</f>
        <v/>
      </c>
      <c r="AJ29" s="47" t="n">
        <f aca="false">IF(AND(ISNUMBER(Y29),N(Y29)&lt;60),69.9,IF(OR(AND(ISNUMBER(AE29),N(AE29)&lt;80),AND(ISNUMBER(AC29),N(AC29)&lt;50,N(O29)&gt;=2)),84.9,100))</f>
        <v>100</v>
      </c>
      <c r="AK29" s="47" t="str">
        <f aca="false">IF(AI29="","",MIN(AI29,AJ29))</f>
        <v/>
      </c>
      <c r="AL29" s="47" t="str">
        <f aca="false">IF($C29="","",IF(AK29="","Gris — menos de 3 fuentes",IF(AND(AK29&lt;Parámetros!$B$14,N29&lt;&gt;"",N(N29)&lt;Parámetros!$B$15,N(Y29)&gt;=60),"Gris — repetir observación",IF(AK29&gt;=Parámetros!$B$13,"Verde",IF(AK29&gt;=Parámetros!$B$14,"Amarillo","Rojo")))))</f>
        <v/>
      </c>
      <c r="AM29" s="47" t="str">
        <f aca="false">IF($C29="","",IF(AND(ISNUMBER(Y29),N(Y29)&lt;60),"Ejecución &lt; 60 %: rojo automático",IF(AND(ISNUMBER(AE29),N(AE29)&lt;80),"PIAR &lt; 80 %: máximo amarillo",IF(AND(ISNUMBER(AC29),N(AC29)&lt;50,N(O29)&gt;=2),"Observación &lt; 50: máximo amarillo",IF(AND(N29&lt;&gt;"",N(N29)&lt;Parámetros!$B$15),"κ &lt; 0,60: observación descartada, repetir","")))))</f>
        <v/>
      </c>
    </row>
    <row r="30" customFormat="false" ht="15" hidden="false" customHeight="fals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7" t="str">
        <f aca="false">IF(N(E30)&gt;0,MIN(100,F30/E30*100),"")</f>
        <v/>
      </c>
      <c r="Y30" s="47" t="str">
        <f aca="false">IF(N(G30)&gt;0,MIN(100,H30/G30*100),"")</f>
        <v/>
      </c>
      <c r="Z30" s="47" t="str">
        <f aca="false">IF(N(I30)&gt;0,MIN(100,J30/I30*100),"")</f>
        <v/>
      </c>
      <c r="AA30" s="47" t="str">
        <f aca="false">IF(K30="","",K30/24*100)</f>
        <v/>
      </c>
      <c r="AB30" s="47" t="str">
        <f aca="false">IF(L30="","",L30/3*100)</f>
        <v/>
      </c>
      <c r="AC30" s="47" t="str">
        <f aca="false">IF(OR(M30="",AND(N30&lt;&gt;"",N(N30)&lt;Parámetros!$B$15)),"",MAX(0,MIN(100,(M30-1)/4*100)))</f>
        <v/>
      </c>
      <c r="AD30" s="47" t="str">
        <f aca="false">IF(OR(P30="",N(Q30)=0),"",MAX(0,MIN(100,((Q30/(Q30+Parámetros!$B$16))*P30+(Parámetros!$B$16/(Q30+Parámetros!$B$16))*Parámetros!$B$17-0.1)/0.4*100)))</f>
        <v/>
      </c>
      <c r="AE30" s="47" t="str">
        <f aca="false">IF(N(R30)&gt;0,MIN(100,S30/R30*100),"")</f>
        <v/>
      </c>
      <c r="AF30" s="47" t="str">
        <f aca="false">IF(N(U30)&gt;0,MIN(100,T30/(U30*5)*100),"")</f>
        <v/>
      </c>
      <c r="AG30" s="47" t="str">
        <f aca="false">IF(OR(V30="",N(W30)&lt;10),"",(V30-1)/4*100)</f>
        <v/>
      </c>
      <c r="AH30" s="47" t="str">
        <f aca="false">IF($C30="","",COUNT(X30:AG30))</f>
        <v/>
      </c>
      <c r="AI30" s="47" t="str">
        <f aca="false">IF(OR($C30="",N(AH30)&lt;Parámetros!$B$18),"",(IF(ISNUMBER(X30),X30*Parámetros!$B$2,0)+IF(ISNUMBER(Y30),Y30*Parámetros!$B$3,0)+IF(ISNUMBER(Z30),Z30*Parámetros!$B$4,0)+IF(ISNUMBER(AA30),AA30*Parámetros!$B$5,0)+IF(ISNUMBER(AB30),AB30*Parámetros!$B$6,0)+IF(ISNUMBER(AC30),AC30*Parámetros!$B$7,0)+IF(ISNUMBER(AD30),AD30*Parámetros!$B$8,0)+IF(ISNUMBER(AE30),AE30*Parámetros!$B$9,0)+IF(ISNUMBER(AF30),AF30*Parámetros!$B$10,0)+IF(ISNUMBER(AG30),AG30*Parámetros!$B$11,0))/(IF(ISNUMBER(X30),Parámetros!$B$2,0)+IF(ISNUMBER(Y30),Parámetros!$B$3,0)+IF(ISNUMBER(Z30),Parámetros!$B$4,0)+IF(ISNUMBER(AA30),Parámetros!$B$5,0)+IF(ISNUMBER(AB30),Parámetros!$B$6,0)+IF(ISNUMBER(AC30),Parámetros!$B$7,0)+IF(ISNUMBER(AD30),Parámetros!$B$8,0)+IF(ISNUMBER(AE30),Parámetros!$B$9,0)+IF(ISNUMBER(AF30),Parámetros!$B$10,0)+IF(ISNUMBER(AG30),Parámetros!$B$11,0)))</f>
        <v/>
      </c>
      <c r="AJ30" s="47" t="n">
        <f aca="false">IF(AND(ISNUMBER(Y30),N(Y30)&lt;60),69.9,IF(OR(AND(ISNUMBER(AE30),N(AE30)&lt;80),AND(ISNUMBER(AC30),N(AC30)&lt;50,N(O30)&gt;=2)),84.9,100))</f>
        <v>100</v>
      </c>
      <c r="AK30" s="47" t="str">
        <f aca="false">IF(AI30="","",MIN(AI30,AJ30))</f>
        <v/>
      </c>
      <c r="AL30" s="47" t="str">
        <f aca="false">IF($C30="","",IF(AK30="","Gris — menos de 3 fuentes",IF(AND(AK30&lt;Parámetros!$B$14,N30&lt;&gt;"",N(N30)&lt;Parámetros!$B$15,N(Y30)&gt;=60),"Gris — repetir observación",IF(AK30&gt;=Parámetros!$B$13,"Verde",IF(AK30&gt;=Parámetros!$B$14,"Amarillo","Rojo")))))</f>
        <v/>
      </c>
      <c r="AM30" s="47" t="str">
        <f aca="false">IF($C30="","",IF(AND(ISNUMBER(Y30),N(Y30)&lt;60),"Ejecución &lt; 60 %: rojo automático",IF(AND(ISNUMBER(AE30),N(AE30)&lt;80),"PIAR &lt; 80 %: máximo amarillo",IF(AND(ISNUMBER(AC30),N(AC30)&lt;50,N(O30)&gt;=2),"Observación &lt; 50: máximo amarillo",IF(AND(N30&lt;&gt;"",N(N30)&lt;Parámetros!$B$15),"κ &lt; 0,60: observación descartada, repetir","")))))</f>
        <v/>
      </c>
    </row>
    <row r="31" customFormat="false" ht="15" hidden="false" customHeight="fals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7" t="str">
        <f aca="false">IF(N(E31)&gt;0,MIN(100,F31/E31*100),"")</f>
        <v/>
      </c>
      <c r="Y31" s="47" t="str">
        <f aca="false">IF(N(G31)&gt;0,MIN(100,H31/G31*100),"")</f>
        <v/>
      </c>
      <c r="Z31" s="47" t="str">
        <f aca="false">IF(N(I31)&gt;0,MIN(100,J31/I31*100),"")</f>
        <v/>
      </c>
      <c r="AA31" s="47" t="str">
        <f aca="false">IF(K31="","",K31/24*100)</f>
        <v/>
      </c>
      <c r="AB31" s="47" t="str">
        <f aca="false">IF(L31="","",L31/3*100)</f>
        <v/>
      </c>
      <c r="AC31" s="47" t="str">
        <f aca="false">IF(OR(M31="",AND(N31&lt;&gt;"",N(N31)&lt;Parámetros!$B$15)),"",MAX(0,MIN(100,(M31-1)/4*100)))</f>
        <v/>
      </c>
      <c r="AD31" s="47" t="str">
        <f aca="false">IF(OR(P31="",N(Q31)=0),"",MAX(0,MIN(100,((Q31/(Q31+Parámetros!$B$16))*P31+(Parámetros!$B$16/(Q31+Parámetros!$B$16))*Parámetros!$B$17-0.1)/0.4*100)))</f>
        <v/>
      </c>
      <c r="AE31" s="47" t="str">
        <f aca="false">IF(N(R31)&gt;0,MIN(100,S31/R31*100),"")</f>
        <v/>
      </c>
      <c r="AF31" s="47" t="str">
        <f aca="false">IF(N(U31)&gt;0,MIN(100,T31/(U31*5)*100),"")</f>
        <v/>
      </c>
      <c r="AG31" s="47" t="str">
        <f aca="false">IF(OR(V31="",N(W31)&lt;10),"",(V31-1)/4*100)</f>
        <v/>
      </c>
      <c r="AH31" s="47" t="str">
        <f aca="false">IF($C31="","",COUNT(X31:AG31))</f>
        <v/>
      </c>
      <c r="AI31" s="47" t="str">
        <f aca="false">IF(OR($C31="",N(AH31)&lt;Parámetros!$B$18),"",(IF(ISNUMBER(X31),X31*Parámetros!$B$2,0)+IF(ISNUMBER(Y31),Y31*Parámetros!$B$3,0)+IF(ISNUMBER(Z31),Z31*Parámetros!$B$4,0)+IF(ISNUMBER(AA31),AA31*Parámetros!$B$5,0)+IF(ISNUMBER(AB31),AB31*Parámetros!$B$6,0)+IF(ISNUMBER(AC31),AC31*Parámetros!$B$7,0)+IF(ISNUMBER(AD31),AD31*Parámetros!$B$8,0)+IF(ISNUMBER(AE31),AE31*Parámetros!$B$9,0)+IF(ISNUMBER(AF31),AF31*Parámetros!$B$10,0)+IF(ISNUMBER(AG31),AG31*Parámetros!$B$11,0))/(IF(ISNUMBER(X31),Parámetros!$B$2,0)+IF(ISNUMBER(Y31),Parámetros!$B$3,0)+IF(ISNUMBER(Z31),Parámetros!$B$4,0)+IF(ISNUMBER(AA31),Parámetros!$B$5,0)+IF(ISNUMBER(AB31),Parámetros!$B$6,0)+IF(ISNUMBER(AC31),Parámetros!$B$7,0)+IF(ISNUMBER(AD31),Parámetros!$B$8,0)+IF(ISNUMBER(AE31),Parámetros!$B$9,0)+IF(ISNUMBER(AF31),Parámetros!$B$10,0)+IF(ISNUMBER(AG31),Parámetros!$B$11,0)))</f>
        <v/>
      </c>
      <c r="AJ31" s="47" t="n">
        <f aca="false">IF(AND(ISNUMBER(Y31),N(Y31)&lt;60),69.9,IF(OR(AND(ISNUMBER(AE31),N(AE31)&lt;80),AND(ISNUMBER(AC31),N(AC31)&lt;50,N(O31)&gt;=2)),84.9,100))</f>
        <v>100</v>
      </c>
      <c r="AK31" s="47" t="str">
        <f aca="false">IF(AI31="","",MIN(AI31,AJ31))</f>
        <v/>
      </c>
      <c r="AL31" s="47" t="str">
        <f aca="false">IF($C31="","",IF(AK31="","Gris — menos de 3 fuentes",IF(AND(AK31&lt;Parámetros!$B$14,N31&lt;&gt;"",N(N31)&lt;Parámetros!$B$15,N(Y31)&gt;=60),"Gris — repetir observación",IF(AK31&gt;=Parámetros!$B$13,"Verde",IF(AK31&gt;=Parámetros!$B$14,"Amarillo","Rojo")))))</f>
        <v/>
      </c>
      <c r="AM31" s="47" t="str">
        <f aca="false">IF($C31="","",IF(AND(ISNUMBER(Y31),N(Y31)&lt;60),"Ejecución &lt; 60 %: rojo automático",IF(AND(ISNUMBER(AE31),N(AE31)&lt;80),"PIAR &lt; 80 %: máximo amarillo",IF(AND(ISNUMBER(AC31),N(AC31)&lt;50,N(O31)&gt;=2),"Observación &lt; 50: máximo amarillo",IF(AND(N31&lt;&gt;"",N(N31)&lt;Parámetros!$B$15),"κ &lt; 0,60: observación descartada, repetir","")))))</f>
        <v/>
      </c>
    </row>
    <row r="32" customFormat="false" ht="15" hidden="false" customHeight="false" outlineLevel="0" collapsed="false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7" t="str">
        <f aca="false">IF(N(E32)&gt;0,MIN(100,F32/E32*100),"")</f>
        <v/>
      </c>
      <c r="Y32" s="47" t="str">
        <f aca="false">IF(N(G32)&gt;0,MIN(100,H32/G32*100),"")</f>
        <v/>
      </c>
      <c r="Z32" s="47" t="str">
        <f aca="false">IF(N(I32)&gt;0,MIN(100,J32/I32*100),"")</f>
        <v/>
      </c>
      <c r="AA32" s="47" t="str">
        <f aca="false">IF(K32="","",K32/24*100)</f>
        <v/>
      </c>
      <c r="AB32" s="47" t="str">
        <f aca="false">IF(L32="","",L32/3*100)</f>
        <v/>
      </c>
      <c r="AC32" s="47" t="str">
        <f aca="false">IF(OR(M32="",AND(N32&lt;&gt;"",N(N32)&lt;Parámetros!$B$15)),"",MAX(0,MIN(100,(M32-1)/4*100)))</f>
        <v/>
      </c>
      <c r="AD32" s="47" t="str">
        <f aca="false">IF(OR(P32="",N(Q32)=0),"",MAX(0,MIN(100,((Q32/(Q32+Parámetros!$B$16))*P32+(Parámetros!$B$16/(Q32+Parámetros!$B$16))*Parámetros!$B$17-0.1)/0.4*100)))</f>
        <v/>
      </c>
      <c r="AE32" s="47" t="str">
        <f aca="false">IF(N(R32)&gt;0,MIN(100,S32/R32*100),"")</f>
        <v/>
      </c>
      <c r="AF32" s="47" t="str">
        <f aca="false">IF(N(U32)&gt;0,MIN(100,T32/(U32*5)*100),"")</f>
        <v/>
      </c>
      <c r="AG32" s="47" t="str">
        <f aca="false">IF(OR(V32="",N(W32)&lt;10),"",(V32-1)/4*100)</f>
        <v/>
      </c>
      <c r="AH32" s="47" t="str">
        <f aca="false">IF($C32="","",COUNT(X32:AG32))</f>
        <v/>
      </c>
      <c r="AI32" s="47" t="str">
        <f aca="false">IF(OR($C32="",N(AH32)&lt;Parámetros!$B$18),"",(IF(ISNUMBER(X32),X32*Parámetros!$B$2,0)+IF(ISNUMBER(Y32),Y32*Parámetros!$B$3,0)+IF(ISNUMBER(Z32),Z32*Parámetros!$B$4,0)+IF(ISNUMBER(AA32),AA32*Parámetros!$B$5,0)+IF(ISNUMBER(AB32),AB32*Parámetros!$B$6,0)+IF(ISNUMBER(AC32),AC32*Parámetros!$B$7,0)+IF(ISNUMBER(AD32),AD32*Parámetros!$B$8,0)+IF(ISNUMBER(AE32),AE32*Parámetros!$B$9,0)+IF(ISNUMBER(AF32),AF32*Parámetros!$B$10,0)+IF(ISNUMBER(AG32),AG32*Parámetros!$B$11,0))/(IF(ISNUMBER(X32),Parámetros!$B$2,0)+IF(ISNUMBER(Y32),Parámetros!$B$3,0)+IF(ISNUMBER(Z32),Parámetros!$B$4,0)+IF(ISNUMBER(AA32),Parámetros!$B$5,0)+IF(ISNUMBER(AB32),Parámetros!$B$6,0)+IF(ISNUMBER(AC32),Parámetros!$B$7,0)+IF(ISNUMBER(AD32),Parámetros!$B$8,0)+IF(ISNUMBER(AE32),Parámetros!$B$9,0)+IF(ISNUMBER(AF32),Parámetros!$B$10,0)+IF(ISNUMBER(AG32),Parámetros!$B$11,0)))</f>
        <v/>
      </c>
      <c r="AJ32" s="47" t="n">
        <f aca="false">IF(AND(ISNUMBER(Y32),N(Y32)&lt;60),69.9,IF(OR(AND(ISNUMBER(AE32),N(AE32)&lt;80),AND(ISNUMBER(AC32),N(AC32)&lt;50,N(O32)&gt;=2)),84.9,100))</f>
        <v>100</v>
      </c>
      <c r="AK32" s="47" t="str">
        <f aca="false">IF(AI32="","",MIN(AI32,AJ32))</f>
        <v/>
      </c>
      <c r="AL32" s="47" t="str">
        <f aca="false">IF($C32="","",IF(AK32="","Gris — menos de 3 fuentes",IF(AND(AK32&lt;Parámetros!$B$14,N32&lt;&gt;"",N(N32)&lt;Parámetros!$B$15,N(Y32)&gt;=60),"Gris — repetir observación",IF(AK32&gt;=Parámetros!$B$13,"Verde",IF(AK32&gt;=Parámetros!$B$14,"Amarillo","Rojo")))))</f>
        <v/>
      </c>
      <c r="AM32" s="47" t="str">
        <f aca="false">IF($C32="","",IF(AND(ISNUMBER(Y32),N(Y32)&lt;60),"Ejecución &lt; 60 %: rojo automático",IF(AND(ISNUMBER(AE32),N(AE32)&lt;80),"PIAR &lt; 80 %: máximo amarillo",IF(AND(ISNUMBER(AC32),N(AC32)&lt;50,N(O32)&gt;=2),"Observación &lt; 50: máximo amarillo",IF(AND(N32&lt;&gt;"",N(N32)&lt;Parámetros!$B$15),"κ &lt; 0,60: observación descartada, repetir","")))))</f>
        <v/>
      </c>
    </row>
    <row r="33" customFormat="false" ht="15" hidden="false" customHeight="fals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7" t="str">
        <f aca="false">IF(N(E33)&gt;0,MIN(100,F33/E33*100),"")</f>
        <v/>
      </c>
      <c r="Y33" s="47" t="str">
        <f aca="false">IF(N(G33)&gt;0,MIN(100,H33/G33*100),"")</f>
        <v/>
      </c>
      <c r="Z33" s="47" t="str">
        <f aca="false">IF(N(I33)&gt;0,MIN(100,J33/I33*100),"")</f>
        <v/>
      </c>
      <c r="AA33" s="47" t="str">
        <f aca="false">IF(K33="","",K33/24*100)</f>
        <v/>
      </c>
      <c r="AB33" s="47" t="str">
        <f aca="false">IF(L33="","",L33/3*100)</f>
        <v/>
      </c>
      <c r="AC33" s="47" t="str">
        <f aca="false">IF(OR(M33="",AND(N33&lt;&gt;"",N(N33)&lt;Parámetros!$B$15)),"",MAX(0,MIN(100,(M33-1)/4*100)))</f>
        <v/>
      </c>
      <c r="AD33" s="47" t="str">
        <f aca="false">IF(OR(P33="",N(Q33)=0),"",MAX(0,MIN(100,((Q33/(Q33+Parámetros!$B$16))*P33+(Parámetros!$B$16/(Q33+Parámetros!$B$16))*Parámetros!$B$17-0.1)/0.4*100)))</f>
        <v/>
      </c>
      <c r="AE33" s="47" t="str">
        <f aca="false">IF(N(R33)&gt;0,MIN(100,S33/R33*100),"")</f>
        <v/>
      </c>
      <c r="AF33" s="47" t="str">
        <f aca="false">IF(N(U33)&gt;0,MIN(100,T33/(U33*5)*100),"")</f>
        <v/>
      </c>
      <c r="AG33" s="47" t="str">
        <f aca="false">IF(OR(V33="",N(W33)&lt;10),"",(V33-1)/4*100)</f>
        <v/>
      </c>
      <c r="AH33" s="47" t="str">
        <f aca="false">IF($C33="","",COUNT(X33:AG33))</f>
        <v/>
      </c>
      <c r="AI33" s="47" t="str">
        <f aca="false">IF(OR($C33="",N(AH33)&lt;Parámetros!$B$18),"",(IF(ISNUMBER(X33),X33*Parámetros!$B$2,0)+IF(ISNUMBER(Y33),Y33*Parámetros!$B$3,0)+IF(ISNUMBER(Z33),Z33*Parámetros!$B$4,0)+IF(ISNUMBER(AA33),AA33*Parámetros!$B$5,0)+IF(ISNUMBER(AB33),AB33*Parámetros!$B$6,0)+IF(ISNUMBER(AC33),AC33*Parámetros!$B$7,0)+IF(ISNUMBER(AD33),AD33*Parámetros!$B$8,0)+IF(ISNUMBER(AE33),AE33*Parámetros!$B$9,0)+IF(ISNUMBER(AF33),AF33*Parámetros!$B$10,0)+IF(ISNUMBER(AG33),AG33*Parámetros!$B$11,0))/(IF(ISNUMBER(X33),Parámetros!$B$2,0)+IF(ISNUMBER(Y33),Parámetros!$B$3,0)+IF(ISNUMBER(Z33),Parámetros!$B$4,0)+IF(ISNUMBER(AA33),Parámetros!$B$5,0)+IF(ISNUMBER(AB33),Parámetros!$B$6,0)+IF(ISNUMBER(AC33),Parámetros!$B$7,0)+IF(ISNUMBER(AD33),Parámetros!$B$8,0)+IF(ISNUMBER(AE33),Parámetros!$B$9,0)+IF(ISNUMBER(AF33),Parámetros!$B$10,0)+IF(ISNUMBER(AG33),Parámetros!$B$11,0)))</f>
        <v/>
      </c>
      <c r="AJ33" s="47" t="n">
        <f aca="false">IF(AND(ISNUMBER(Y33),N(Y33)&lt;60),69.9,IF(OR(AND(ISNUMBER(AE33),N(AE33)&lt;80),AND(ISNUMBER(AC33),N(AC33)&lt;50,N(O33)&gt;=2)),84.9,100))</f>
        <v>100</v>
      </c>
      <c r="AK33" s="47" t="str">
        <f aca="false">IF(AI33="","",MIN(AI33,AJ33))</f>
        <v/>
      </c>
      <c r="AL33" s="47" t="str">
        <f aca="false">IF($C33="","",IF(AK33="","Gris — menos de 3 fuentes",IF(AND(AK33&lt;Parámetros!$B$14,N33&lt;&gt;"",N(N33)&lt;Parámetros!$B$15,N(Y33)&gt;=60),"Gris — repetir observación",IF(AK33&gt;=Parámetros!$B$13,"Verde",IF(AK33&gt;=Parámetros!$B$14,"Amarillo","Rojo")))))</f>
        <v/>
      </c>
      <c r="AM33" s="47" t="str">
        <f aca="false">IF($C33="","",IF(AND(ISNUMBER(Y33),N(Y33)&lt;60),"Ejecución &lt; 60 %: rojo automático",IF(AND(ISNUMBER(AE33),N(AE33)&lt;80),"PIAR &lt; 80 %: máximo amarillo",IF(AND(ISNUMBER(AC33),N(AC33)&lt;50,N(O33)&gt;=2),"Observación &lt; 50: máximo amarillo",IF(AND(N33&lt;&gt;"",N(N33)&lt;Parámetros!$B$15),"κ &lt; 0,60: observación descartada, repetir","")))))</f>
        <v/>
      </c>
    </row>
    <row r="34" customFormat="false" ht="15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7" t="str">
        <f aca="false">IF(N(E34)&gt;0,MIN(100,F34/E34*100),"")</f>
        <v/>
      </c>
      <c r="Y34" s="47" t="str">
        <f aca="false">IF(N(G34)&gt;0,MIN(100,H34/G34*100),"")</f>
        <v/>
      </c>
      <c r="Z34" s="47" t="str">
        <f aca="false">IF(N(I34)&gt;0,MIN(100,J34/I34*100),"")</f>
        <v/>
      </c>
      <c r="AA34" s="47" t="str">
        <f aca="false">IF(K34="","",K34/24*100)</f>
        <v/>
      </c>
      <c r="AB34" s="47" t="str">
        <f aca="false">IF(L34="","",L34/3*100)</f>
        <v/>
      </c>
      <c r="AC34" s="47" t="str">
        <f aca="false">IF(OR(M34="",AND(N34&lt;&gt;"",N(N34)&lt;Parámetros!$B$15)),"",MAX(0,MIN(100,(M34-1)/4*100)))</f>
        <v/>
      </c>
      <c r="AD34" s="47" t="str">
        <f aca="false">IF(OR(P34="",N(Q34)=0),"",MAX(0,MIN(100,((Q34/(Q34+Parámetros!$B$16))*P34+(Parámetros!$B$16/(Q34+Parámetros!$B$16))*Parámetros!$B$17-0.1)/0.4*100)))</f>
        <v/>
      </c>
      <c r="AE34" s="47" t="str">
        <f aca="false">IF(N(R34)&gt;0,MIN(100,S34/R34*100),"")</f>
        <v/>
      </c>
      <c r="AF34" s="47" t="str">
        <f aca="false">IF(N(U34)&gt;0,MIN(100,T34/(U34*5)*100),"")</f>
        <v/>
      </c>
      <c r="AG34" s="47" t="str">
        <f aca="false">IF(OR(V34="",N(W34)&lt;10),"",(V34-1)/4*100)</f>
        <v/>
      </c>
      <c r="AH34" s="47" t="str">
        <f aca="false">IF($C34="","",COUNT(X34:AG34))</f>
        <v/>
      </c>
      <c r="AI34" s="47" t="str">
        <f aca="false">IF(OR($C34="",N(AH34)&lt;Parámetros!$B$18),"",(IF(ISNUMBER(X34),X34*Parámetros!$B$2,0)+IF(ISNUMBER(Y34),Y34*Parámetros!$B$3,0)+IF(ISNUMBER(Z34),Z34*Parámetros!$B$4,0)+IF(ISNUMBER(AA34),AA34*Parámetros!$B$5,0)+IF(ISNUMBER(AB34),AB34*Parámetros!$B$6,0)+IF(ISNUMBER(AC34),AC34*Parámetros!$B$7,0)+IF(ISNUMBER(AD34),AD34*Parámetros!$B$8,0)+IF(ISNUMBER(AE34),AE34*Parámetros!$B$9,0)+IF(ISNUMBER(AF34),AF34*Parámetros!$B$10,0)+IF(ISNUMBER(AG34),AG34*Parámetros!$B$11,0))/(IF(ISNUMBER(X34),Parámetros!$B$2,0)+IF(ISNUMBER(Y34),Parámetros!$B$3,0)+IF(ISNUMBER(Z34),Parámetros!$B$4,0)+IF(ISNUMBER(AA34),Parámetros!$B$5,0)+IF(ISNUMBER(AB34),Parámetros!$B$6,0)+IF(ISNUMBER(AC34),Parámetros!$B$7,0)+IF(ISNUMBER(AD34),Parámetros!$B$8,0)+IF(ISNUMBER(AE34),Parámetros!$B$9,0)+IF(ISNUMBER(AF34),Parámetros!$B$10,0)+IF(ISNUMBER(AG34),Parámetros!$B$11,0)))</f>
        <v/>
      </c>
      <c r="AJ34" s="47" t="n">
        <f aca="false">IF(AND(ISNUMBER(Y34),N(Y34)&lt;60),69.9,IF(OR(AND(ISNUMBER(AE34),N(AE34)&lt;80),AND(ISNUMBER(AC34),N(AC34)&lt;50,N(O34)&gt;=2)),84.9,100))</f>
        <v>100</v>
      </c>
      <c r="AK34" s="47" t="str">
        <f aca="false">IF(AI34="","",MIN(AI34,AJ34))</f>
        <v/>
      </c>
      <c r="AL34" s="47" t="str">
        <f aca="false">IF($C34="","",IF(AK34="","Gris — menos de 3 fuentes",IF(AND(AK34&lt;Parámetros!$B$14,N34&lt;&gt;"",N(N34)&lt;Parámetros!$B$15,N(Y34)&gt;=60),"Gris — repetir observación",IF(AK34&gt;=Parámetros!$B$13,"Verde",IF(AK34&gt;=Parámetros!$B$14,"Amarillo","Rojo")))))</f>
        <v/>
      </c>
      <c r="AM34" s="47" t="str">
        <f aca="false">IF($C34="","",IF(AND(ISNUMBER(Y34),N(Y34)&lt;60),"Ejecución &lt; 60 %: rojo automático",IF(AND(ISNUMBER(AE34),N(AE34)&lt;80),"PIAR &lt; 80 %: máximo amarillo",IF(AND(ISNUMBER(AC34),N(AC34)&lt;50,N(O34)&gt;=2),"Observación &lt; 50: máximo amarillo",IF(AND(N34&lt;&gt;"",N(N34)&lt;Parámetros!$B$15),"κ &lt; 0,60: observación descartada, repetir","")))))</f>
        <v/>
      </c>
    </row>
    <row r="35" customFormat="false" ht="15" hidden="false" customHeight="fals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7" t="str">
        <f aca="false">IF(N(E35)&gt;0,MIN(100,F35/E35*100),"")</f>
        <v/>
      </c>
      <c r="Y35" s="47" t="str">
        <f aca="false">IF(N(G35)&gt;0,MIN(100,H35/G35*100),"")</f>
        <v/>
      </c>
      <c r="Z35" s="47" t="str">
        <f aca="false">IF(N(I35)&gt;0,MIN(100,J35/I35*100),"")</f>
        <v/>
      </c>
      <c r="AA35" s="47" t="str">
        <f aca="false">IF(K35="","",K35/24*100)</f>
        <v/>
      </c>
      <c r="AB35" s="47" t="str">
        <f aca="false">IF(L35="","",L35/3*100)</f>
        <v/>
      </c>
      <c r="AC35" s="47" t="str">
        <f aca="false">IF(OR(M35="",AND(N35&lt;&gt;"",N(N35)&lt;Parámetros!$B$15)),"",MAX(0,MIN(100,(M35-1)/4*100)))</f>
        <v/>
      </c>
      <c r="AD35" s="47" t="str">
        <f aca="false">IF(OR(P35="",N(Q35)=0),"",MAX(0,MIN(100,((Q35/(Q35+Parámetros!$B$16))*P35+(Parámetros!$B$16/(Q35+Parámetros!$B$16))*Parámetros!$B$17-0.1)/0.4*100)))</f>
        <v/>
      </c>
      <c r="AE35" s="47" t="str">
        <f aca="false">IF(N(R35)&gt;0,MIN(100,S35/R35*100),"")</f>
        <v/>
      </c>
      <c r="AF35" s="47" t="str">
        <f aca="false">IF(N(U35)&gt;0,MIN(100,T35/(U35*5)*100),"")</f>
        <v/>
      </c>
      <c r="AG35" s="47" t="str">
        <f aca="false">IF(OR(V35="",N(W35)&lt;10),"",(V35-1)/4*100)</f>
        <v/>
      </c>
      <c r="AH35" s="47" t="str">
        <f aca="false">IF($C35="","",COUNT(X35:AG35))</f>
        <v/>
      </c>
      <c r="AI35" s="47" t="str">
        <f aca="false">IF(OR($C35="",N(AH35)&lt;Parámetros!$B$18),"",(IF(ISNUMBER(X35),X35*Parámetros!$B$2,0)+IF(ISNUMBER(Y35),Y35*Parámetros!$B$3,0)+IF(ISNUMBER(Z35),Z35*Parámetros!$B$4,0)+IF(ISNUMBER(AA35),AA35*Parámetros!$B$5,0)+IF(ISNUMBER(AB35),AB35*Parámetros!$B$6,0)+IF(ISNUMBER(AC35),AC35*Parámetros!$B$7,0)+IF(ISNUMBER(AD35),AD35*Parámetros!$B$8,0)+IF(ISNUMBER(AE35),AE35*Parámetros!$B$9,0)+IF(ISNUMBER(AF35),AF35*Parámetros!$B$10,0)+IF(ISNUMBER(AG35),AG35*Parámetros!$B$11,0))/(IF(ISNUMBER(X35),Parámetros!$B$2,0)+IF(ISNUMBER(Y35),Parámetros!$B$3,0)+IF(ISNUMBER(Z35),Parámetros!$B$4,0)+IF(ISNUMBER(AA35),Parámetros!$B$5,0)+IF(ISNUMBER(AB35),Parámetros!$B$6,0)+IF(ISNUMBER(AC35),Parámetros!$B$7,0)+IF(ISNUMBER(AD35),Parámetros!$B$8,0)+IF(ISNUMBER(AE35),Parámetros!$B$9,0)+IF(ISNUMBER(AF35),Parámetros!$B$10,0)+IF(ISNUMBER(AG35),Parámetros!$B$11,0)))</f>
        <v/>
      </c>
      <c r="AJ35" s="47" t="n">
        <f aca="false">IF(AND(ISNUMBER(Y35),N(Y35)&lt;60),69.9,IF(OR(AND(ISNUMBER(AE35),N(AE35)&lt;80),AND(ISNUMBER(AC35),N(AC35)&lt;50,N(O35)&gt;=2)),84.9,100))</f>
        <v>100</v>
      </c>
      <c r="AK35" s="47" t="str">
        <f aca="false">IF(AI35="","",MIN(AI35,AJ35))</f>
        <v/>
      </c>
      <c r="AL35" s="47" t="str">
        <f aca="false">IF($C35="","",IF(AK35="","Gris — menos de 3 fuentes",IF(AND(AK35&lt;Parámetros!$B$14,N35&lt;&gt;"",N(N35)&lt;Parámetros!$B$15,N(Y35)&gt;=60),"Gris — repetir observación",IF(AK35&gt;=Parámetros!$B$13,"Verde",IF(AK35&gt;=Parámetros!$B$14,"Amarillo","Rojo")))))</f>
        <v/>
      </c>
      <c r="AM35" s="47" t="str">
        <f aca="false">IF($C35="","",IF(AND(ISNUMBER(Y35),N(Y35)&lt;60),"Ejecución &lt; 60 %: rojo automático",IF(AND(ISNUMBER(AE35),N(AE35)&lt;80),"PIAR &lt; 80 %: máximo amarillo",IF(AND(ISNUMBER(AC35),N(AC35)&lt;50,N(O35)&gt;=2),"Observación &lt; 50: máximo amarillo",IF(AND(N35&lt;&gt;"",N(N35)&lt;Parámetros!$B$15),"κ &lt; 0,60: observación descartada, repetir","")))))</f>
        <v/>
      </c>
    </row>
    <row r="36" customFormat="false" ht="15" hidden="false" customHeight="fals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7" t="str">
        <f aca="false">IF(N(E36)&gt;0,MIN(100,F36/E36*100),"")</f>
        <v/>
      </c>
      <c r="Y36" s="47" t="str">
        <f aca="false">IF(N(G36)&gt;0,MIN(100,H36/G36*100),"")</f>
        <v/>
      </c>
      <c r="Z36" s="47" t="str">
        <f aca="false">IF(N(I36)&gt;0,MIN(100,J36/I36*100),"")</f>
        <v/>
      </c>
      <c r="AA36" s="47" t="str">
        <f aca="false">IF(K36="","",K36/24*100)</f>
        <v/>
      </c>
      <c r="AB36" s="47" t="str">
        <f aca="false">IF(L36="","",L36/3*100)</f>
        <v/>
      </c>
      <c r="AC36" s="47" t="str">
        <f aca="false">IF(OR(M36="",AND(N36&lt;&gt;"",N(N36)&lt;Parámetros!$B$15)),"",MAX(0,MIN(100,(M36-1)/4*100)))</f>
        <v/>
      </c>
      <c r="AD36" s="47" t="str">
        <f aca="false">IF(OR(P36="",N(Q36)=0),"",MAX(0,MIN(100,((Q36/(Q36+Parámetros!$B$16))*P36+(Parámetros!$B$16/(Q36+Parámetros!$B$16))*Parámetros!$B$17-0.1)/0.4*100)))</f>
        <v/>
      </c>
      <c r="AE36" s="47" t="str">
        <f aca="false">IF(N(R36)&gt;0,MIN(100,S36/R36*100),"")</f>
        <v/>
      </c>
      <c r="AF36" s="47" t="str">
        <f aca="false">IF(N(U36)&gt;0,MIN(100,T36/(U36*5)*100),"")</f>
        <v/>
      </c>
      <c r="AG36" s="47" t="str">
        <f aca="false">IF(OR(V36="",N(W36)&lt;10),"",(V36-1)/4*100)</f>
        <v/>
      </c>
      <c r="AH36" s="47" t="str">
        <f aca="false">IF($C36="","",COUNT(X36:AG36))</f>
        <v/>
      </c>
      <c r="AI36" s="47" t="str">
        <f aca="false">IF(OR($C36="",N(AH36)&lt;Parámetros!$B$18),"",(IF(ISNUMBER(X36),X36*Parámetros!$B$2,0)+IF(ISNUMBER(Y36),Y36*Parámetros!$B$3,0)+IF(ISNUMBER(Z36),Z36*Parámetros!$B$4,0)+IF(ISNUMBER(AA36),AA36*Parámetros!$B$5,0)+IF(ISNUMBER(AB36),AB36*Parámetros!$B$6,0)+IF(ISNUMBER(AC36),AC36*Parámetros!$B$7,0)+IF(ISNUMBER(AD36),AD36*Parámetros!$B$8,0)+IF(ISNUMBER(AE36),AE36*Parámetros!$B$9,0)+IF(ISNUMBER(AF36),AF36*Parámetros!$B$10,0)+IF(ISNUMBER(AG36),AG36*Parámetros!$B$11,0))/(IF(ISNUMBER(X36),Parámetros!$B$2,0)+IF(ISNUMBER(Y36),Parámetros!$B$3,0)+IF(ISNUMBER(Z36),Parámetros!$B$4,0)+IF(ISNUMBER(AA36),Parámetros!$B$5,0)+IF(ISNUMBER(AB36),Parámetros!$B$6,0)+IF(ISNUMBER(AC36),Parámetros!$B$7,0)+IF(ISNUMBER(AD36),Parámetros!$B$8,0)+IF(ISNUMBER(AE36),Parámetros!$B$9,0)+IF(ISNUMBER(AF36),Parámetros!$B$10,0)+IF(ISNUMBER(AG36),Parámetros!$B$11,0)))</f>
        <v/>
      </c>
      <c r="AJ36" s="47" t="n">
        <f aca="false">IF(AND(ISNUMBER(Y36),N(Y36)&lt;60),69.9,IF(OR(AND(ISNUMBER(AE36),N(AE36)&lt;80),AND(ISNUMBER(AC36),N(AC36)&lt;50,N(O36)&gt;=2)),84.9,100))</f>
        <v>100</v>
      </c>
      <c r="AK36" s="47" t="str">
        <f aca="false">IF(AI36="","",MIN(AI36,AJ36))</f>
        <v/>
      </c>
      <c r="AL36" s="47" t="str">
        <f aca="false">IF($C36="","",IF(AK36="","Gris — menos de 3 fuentes",IF(AND(AK36&lt;Parámetros!$B$14,N36&lt;&gt;"",N(N36)&lt;Parámetros!$B$15,N(Y36)&gt;=60),"Gris — repetir observación",IF(AK36&gt;=Parámetros!$B$13,"Verde",IF(AK36&gt;=Parámetros!$B$14,"Amarillo","Rojo")))))</f>
        <v/>
      </c>
      <c r="AM36" s="47" t="str">
        <f aca="false">IF($C36="","",IF(AND(ISNUMBER(Y36),N(Y36)&lt;60),"Ejecución &lt; 60 %: rojo automático",IF(AND(ISNUMBER(AE36),N(AE36)&lt;80),"PIAR &lt; 80 %: máximo amarillo",IF(AND(ISNUMBER(AC36),N(AC36)&lt;50,N(O36)&gt;=2),"Observación &lt; 50: máximo amarillo",IF(AND(N36&lt;&gt;"",N(N36)&lt;Parámetros!$B$15),"κ &lt; 0,60: observación descartada, repetir","")))))</f>
        <v/>
      </c>
    </row>
    <row r="37" customFormat="false" ht="15" hidden="false" customHeight="false" outlineLevel="0" collapsed="false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7" t="str">
        <f aca="false">IF(N(E37)&gt;0,MIN(100,F37/E37*100),"")</f>
        <v/>
      </c>
      <c r="Y37" s="47" t="str">
        <f aca="false">IF(N(G37)&gt;0,MIN(100,H37/G37*100),"")</f>
        <v/>
      </c>
      <c r="Z37" s="47" t="str">
        <f aca="false">IF(N(I37)&gt;0,MIN(100,J37/I37*100),"")</f>
        <v/>
      </c>
      <c r="AA37" s="47" t="str">
        <f aca="false">IF(K37="","",K37/24*100)</f>
        <v/>
      </c>
      <c r="AB37" s="47" t="str">
        <f aca="false">IF(L37="","",L37/3*100)</f>
        <v/>
      </c>
      <c r="AC37" s="47" t="str">
        <f aca="false">IF(OR(M37="",AND(N37&lt;&gt;"",N(N37)&lt;Parámetros!$B$15)),"",MAX(0,MIN(100,(M37-1)/4*100)))</f>
        <v/>
      </c>
      <c r="AD37" s="47" t="str">
        <f aca="false">IF(OR(P37="",N(Q37)=0),"",MAX(0,MIN(100,((Q37/(Q37+Parámetros!$B$16))*P37+(Parámetros!$B$16/(Q37+Parámetros!$B$16))*Parámetros!$B$17-0.1)/0.4*100)))</f>
        <v/>
      </c>
      <c r="AE37" s="47" t="str">
        <f aca="false">IF(N(R37)&gt;0,MIN(100,S37/R37*100),"")</f>
        <v/>
      </c>
      <c r="AF37" s="47" t="str">
        <f aca="false">IF(N(U37)&gt;0,MIN(100,T37/(U37*5)*100),"")</f>
        <v/>
      </c>
      <c r="AG37" s="47" t="str">
        <f aca="false">IF(OR(V37="",N(W37)&lt;10),"",(V37-1)/4*100)</f>
        <v/>
      </c>
      <c r="AH37" s="47" t="str">
        <f aca="false">IF($C37="","",COUNT(X37:AG37))</f>
        <v/>
      </c>
      <c r="AI37" s="47" t="str">
        <f aca="false">IF(OR($C37="",N(AH37)&lt;Parámetros!$B$18),"",(IF(ISNUMBER(X37),X37*Parámetros!$B$2,0)+IF(ISNUMBER(Y37),Y37*Parámetros!$B$3,0)+IF(ISNUMBER(Z37),Z37*Parámetros!$B$4,0)+IF(ISNUMBER(AA37),AA37*Parámetros!$B$5,0)+IF(ISNUMBER(AB37),AB37*Parámetros!$B$6,0)+IF(ISNUMBER(AC37),AC37*Parámetros!$B$7,0)+IF(ISNUMBER(AD37),AD37*Parámetros!$B$8,0)+IF(ISNUMBER(AE37),AE37*Parámetros!$B$9,0)+IF(ISNUMBER(AF37),AF37*Parámetros!$B$10,0)+IF(ISNUMBER(AG37),AG37*Parámetros!$B$11,0))/(IF(ISNUMBER(X37),Parámetros!$B$2,0)+IF(ISNUMBER(Y37),Parámetros!$B$3,0)+IF(ISNUMBER(Z37),Parámetros!$B$4,0)+IF(ISNUMBER(AA37),Parámetros!$B$5,0)+IF(ISNUMBER(AB37),Parámetros!$B$6,0)+IF(ISNUMBER(AC37),Parámetros!$B$7,0)+IF(ISNUMBER(AD37),Parámetros!$B$8,0)+IF(ISNUMBER(AE37),Parámetros!$B$9,0)+IF(ISNUMBER(AF37),Parámetros!$B$10,0)+IF(ISNUMBER(AG37),Parámetros!$B$11,0)))</f>
        <v/>
      </c>
      <c r="AJ37" s="47" t="n">
        <f aca="false">IF(AND(ISNUMBER(Y37),N(Y37)&lt;60),69.9,IF(OR(AND(ISNUMBER(AE37),N(AE37)&lt;80),AND(ISNUMBER(AC37),N(AC37)&lt;50,N(O37)&gt;=2)),84.9,100))</f>
        <v>100</v>
      </c>
      <c r="AK37" s="47" t="str">
        <f aca="false">IF(AI37="","",MIN(AI37,AJ37))</f>
        <v/>
      </c>
      <c r="AL37" s="47" t="str">
        <f aca="false">IF($C37="","",IF(AK37="","Gris — menos de 3 fuentes",IF(AND(AK37&lt;Parámetros!$B$14,N37&lt;&gt;"",N(N37)&lt;Parámetros!$B$15,N(Y37)&gt;=60),"Gris — repetir observación",IF(AK37&gt;=Parámetros!$B$13,"Verde",IF(AK37&gt;=Parámetros!$B$14,"Amarillo","Rojo")))))</f>
        <v/>
      </c>
      <c r="AM37" s="47" t="str">
        <f aca="false">IF($C37="","",IF(AND(ISNUMBER(Y37),N(Y37)&lt;60),"Ejecución &lt; 60 %: rojo automático",IF(AND(ISNUMBER(AE37),N(AE37)&lt;80),"PIAR &lt; 80 %: máximo amarillo",IF(AND(ISNUMBER(AC37),N(AC37)&lt;50,N(O37)&gt;=2),"Observación &lt; 50: máximo amarillo",IF(AND(N37&lt;&gt;"",N(N37)&lt;Parámetros!$B$15),"κ &lt; 0,60: observación descartada, repetir","")))))</f>
        <v/>
      </c>
    </row>
    <row r="38" customFormat="false" ht="15" hidden="false" customHeight="fals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7" t="str">
        <f aca="false">IF(N(E38)&gt;0,MIN(100,F38/E38*100),"")</f>
        <v/>
      </c>
      <c r="Y38" s="47" t="str">
        <f aca="false">IF(N(G38)&gt;0,MIN(100,H38/G38*100),"")</f>
        <v/>
      </c>
      <c r="Z38" s="47" t="str">
        <f aca="false">IF(N(I38)&gt;0,MIN(100,J38/I38*100),"")</f>
        <v/>
      </c>
      <c r="AA38" s="47" t="str">
        <f aca="false">IF(K38="","",K38/24*100)</f>
        <v/>
      </c>
      <c r="AB38" s="47" t="str">
        <f aca="false">IF(L38="","",L38/3*100)</f>
        <v/>
      </c>
      <c r="AC38" s="47" t="str">
        <f aca="false">IF(OR(M38="",AND(N38&lt;&gt;"",N(N38)&lt;Parámetros!$B$15)),"",MAX(0,MIN(100,(M38-1)/4*100)))</f>
        <v/>
      </c>
      <c r="AD38" s="47" t="str">
        <f aca="false">IF(OR(P38="",N(Q38)=0),"",MAX(0,MIN(100,((Q38/(Q38+Parámetros!$B$16))*P38+(Parámetros!$B$16/(Q38+Parámetros!$B$16))*Parámetros!$B$17-0.1)/0.4*100)))</f>
        <v/>
      </c>
      <c r="AE38" s="47" t="str">
        <f aca="false">IF(N(R38)&gt;0,MIN(100,S38/R38*100),"")</f>
        <v/>
      </c>
      <c r="AF38" s="47" t="str">
        <f aca="false">IF(N(U38)&gt;0,MIN(100,T38/(U38*5)*100),"")</f>
        <v/>
      </c>
      <c r="AG38" s="47" t="str">
        <f aca="false">IF(OR(V38="",N(W38)&lt;10),"",(V38-1)/4*100)</f>
        <v/>
      </c>
      <c r="AH38" s="47" t="str">
        <f aca="false">IF($C38="","",COUNT(X38:AG38))</f>
        <v/>
      </c>
      <c r="AI38" s="47" t="str">
        <f aca="false">IF(OR($C38="",N(AH38)&lt;Parámetros!$B$18),"",(IF(ISNUMBER(X38),X38*Parámetros!$B$2,0)+IF(ISNUMBER(Y38),Y38*Parámetros!$B$3,0)+IF(ISNUMBER(Z38),Z38*Parámetros!$B$4,0)+IF(ISNUMBER(AA38),AA38*Parámetros!$B$5,0)+IF(ISNUMBER(AB38),AB38*Parámetros!$B$6,0)+IF(ISNUMBER(AC38),AC38*Parámetros!$B$7,0)+IF(ISNUMBER(AD38),AD38*Parámetros!$B$8,0)+IF(ISNUMBER(AE38),AE38*Parámetros!$B$9,0)+IF(ISNUMBER(AF38),AF38*Parámetros!$B$10,0)+IF(ISNUMBER(AG38),AG38*Parámetros!$B$11,0))/(IF(ISNUMBER(X38),Parámetros!$B$2,0)+IF(ISNUMBER(Y38),Parámetros!$B$3,0)+IF(ISNUMBER(Z38),Parámetros!$B$4,0)+IF(ISNUMBER(AA38),Parámetros!$B$5,0)+IF(ISNUMBER(AB38),Parámetros!$B$6,0)+IF(ISNUMBER(AC38),Parámetros!$B$7,0)+IF(ISNUMBER(AD38),Parámetros!$B$8,0)+IF(ISNUMBER(AE38),Parámetros!$B$9,0)+IF(ISNUMBER(AF38),Parámetros!$B$10,0)+IF(ISNUMBER(AG38),Parámetros!$B$11,0)))</f>
        <v/>
      </c>
      <c r="AJ38" s="47" t="n">
        <f aca="false">IF(AND(ISNUMBER(Y38),N(Y38)&lt;60),69.9,IF(OR(AND(ISNUMBER(AE38),N(AE38)&lt;80),AND(ISNUMBER(AC38),N(AC38)&lt;50,N(O38)&gt;=2)),84.9,100))</f>
        <v>100</v>
      </c>
      <c r="AK38" s="47" t="str">
        <f aca="false">IF(AI38="","",MIN(AI38,AJ38))</f>
        <v/>
      </c>
      <c r="AL38" s="47" t="str">
        <f aca="false">IF($C38="","",IF(AK38="","Gris — menos de 3 fuentes",IF(AND(AK38&lt;Parámetros!$B$14,N38&lt;&gt;"",N(N38)&lt;Parámetros!$B$15,N(Y38)&gt;=60),"Gris — repetir observación",IF(AK38&gt;=Parámetros!$B$13,"Verde",IF(AK38&gt;=Parámetros!$B$14,"Amarillo","Rojo")))))</f>
        <v/>
      </c>
      <c r="AM38" s="47" t="str">
        <f aca="false">IF($C38="","",IF(AND(ISNUMBER(Y38),N(Y38)&lt;60),"Ejecución &lt; 60 %: rojo automático",IF(AND(ISNUMBER(AE38),N(AE38)&lt;80),"PIAR &lt; 80 %: máximo amarillo",IF(AND(ISNUMBER(AC38),N(AC38)&lt;50,N(O38)&gt;=2),"Observación &lt; 50: máximo amarillo",IF(AND(N38&lt;&gt;"",N(N38)&lt;Parámetros!$B$15),"κ &lt; 0,60: observación descartada, repetir","")))))</f>
        <v/>
      </c>
    </row>
    <row r="39" customFormat="false" ht="15" hidden="false" customHeight="fals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7" t="str">
        <f aca="false">IF(N(E39)&gt;0,MIN(100,F39/E39*100),"")</f>
        <v/>
      </c>
      <c r="Y39" s="47" t="str">
        <f aca="false">IF(N(G39)&gt;0,MIN(100,H39/G39*100),"")</f>
        <v/>
      </c>
      <c r="Z39" s="47" t="str">
        <f aca="false">IF(N(I39)&gt;0,MIN(100,J39/I39*100),"")</f>
        <v/>
      </c>
      <c r="AA39" s="47" t="str">
        <f aca="false">IF(K39="","",K39/24*100)</f>
        <v/>
      </c>
      <c r="AB39" s="47" t="str">
        <f aca="false">IF(L39="","",L39/3*100)</f>
        <v/>
      </c>
      <c r="AC39" s="47" t="str">
        <f aca="false">IF(OR(M39="",AND(N39&lt;&gt;"",N(N39)&lt;Parámetros!$B$15)),"",MAX(0,MIN(100,(M39-1)/4*100)))</f>
        <v/>
      </c>
      <c r="AD39" s="47" t="str">
        <f aca="false">IF(OR(P39="",N(Q39)=0),"",MAX(0,MIN(100,((Q39/(Q39+Parámetros!$B$16))*P39+(Parámetros!$B$16/(Q39+Parámetros!$B$16))*Parámetros!$B$17-0.1)/0.4*100)))</f>
        <v/>
      </c>
      <c r="AE39" s="47" t="str">
        <f aca="false">IF(N(R39)&gt;0,MIN(100,S39/R39*100),"")</f>
        <v/>
      </c>
      <c r="AF39" s="47" t="str">
        <f aca="false">IF(N(U39)&gt;0,MIN(100,T39/(U39*5)*100),"")</f>
        <v/>
      </c>
      <c r="AG39" s="47" t="str">
        <f aca="false">IF(OR(V39="",N(W39)&lt;10),"",(V39-1)/4*100)</f>
        <v/>
      </c>
      <c r="AH39" s="47" t="str">
        <f aca="false">IF($C39="","",COUNT(X39:AG39))</f>
        <v/>
      </c>
      <c r="AI39" s="47" t="str">
        <f aca="false">IF(OR($C39="",N(AH39)&lt;Parámetros!$B$18),"",(IF(ISNUMBER(X39),X39*Parámetros!$B$2,0)+IF(ISNUMBER(Y39),Y39*Parámetros!$B$3,0)+IF(ISNUMBER(Z39),Z39*Parámetros!$B$4,0)+IF(ISNUMBER(AA39),AA39*Parámetros!$B$5,0)+IF(ISNUMBER(AB39),AB39*Parámetros!$B$6,0)+IF(ISNUMBER(AC39),AC39*Parámetros!$B$7,0)+IF(ISNUMBER(AD39),AD39*Parámetros!$B$8,0)+IF(ISNUMBER(AE39),AE39*Parámetros!$B$9,0)+IF(ISNUMBER(AF39),AF39*Parámetros!$B$10,0)+IF(ISNUMBER(AG39),AG39*Parámetros!$B$11,0))/(IF(ISNUMBER(X39),Parámetros!$B$2,0)+IF(ISNUMBER(Y39),Parámetros!$B$3,0)+IF(ISNUMBER(Z39),Parámetros!$B$4,0)+IF(ISNUMBER(AA39),Parámetros!$B$5,0)+IF(ISNUMBER(AB39),Parámetros!$B$6,0)+IF(ISNUMBER(AC39),Parámetros!$B$7,0)+IF(ISNUMBER(AD39),Parámetros!$B$8,0)+IF(ISNUMBER(AE39),Parámetros!$B$9,0)+IF(ISNUMBER(AF39),Parámetros!$B$10,0)+IF(ISNUMBER(AG39),Parámetros!$B$11,0)))</f>
        <v/>
      </c>
      <c r="AJ39" s="47" t="n">
        <f aca="false">IF(AND(ISNUMBER(Y39),N(Y39)&lt;60),69.9,IF(OR(AND(ISNUMBER(AE39),N(AE39)&lt;80),AND(ISNUMBER(AC39),N(AC39)&lt;50,N(O39)&gt;=2)),84.9,100))</f>
        <v>100</v>
      </c>
      <c r="AK39" s="47" t="str">
        <f aca="false">IF(AI39="","",MIN(AI39,AJ39))</f>
        <v/>
      </c>
      <c r="AL39" s="47" t="str">
        <f aca="false">IF($C39="","",IF(AK39="","Gris — menos de 3 fuentes",IF(AND(AK39&lt;Parámetros!$B$14,N39&lt;&gt;"",N(N39)&lt;Parámetros!$B$15,N(Y39)&gt;=60),"Gris — repetir observación",IF(AK39&gt;=Parámetros!$B$13,"Verde",IF(AK39&gt;=Parámetros!$B$14,"Amarillo","Rojo")))))</f>
        <v/>
      </c>
      <c r="AM39" s="47" t="str">
        <f aca="false">IF($C39="","",IF(AND(ISNUMBER(Y39),N(Y39)&lt;60),"Ejecución &lt; 60 %: rojo automático",IF(AND(ISNUMBER(AE39),N(AE39)&lt;80),"PIAR &lt; 80 %: máximo amarillo",IF(AND(ISNUMBER(AC39),N(AC39)&lt;50,N(O39)&gt;=2),"Observación &lt; 50: máximo amarillo",IF(AND(N39&lt;&gt;"",N(N39)&lt;Parámetros!$B$15),"κ &lt; 0,60: observación descartada, repetir","")))))</f>
        <v/>
      </c>
    </row>
    <row r="40" customFormat="false" ht="15" hidden="false" customHeight="fals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7" t="str">
        <f aca="false">IF(N(E40)&gt;0,MIN(100,F40/E40*100),"")</f>
        <v/>
      </c>
      <c r="Y40" s="47" t="str">
        <f aca="false">IF(N(G40)&gt;0,MIN(100,H40/G40*100),"")</f>
        <v/>
      </c>
      <c r="Z40" s="47" t="str">
        <f aca="false">IF(N(I40)&gt;0,MIN(100,J40/I40*100),"")</f>
        <v/>
      </c>
      <c r="AA40" s="47" t="str">
        <f aca="false">IF(K40="","",K40/24*100)</f>
        <v/>
      </c>
      <c r="AB40" s="47" t="str">
        <f aca="false">IF(L40="","",L40/3*100)</f>
        <v/>
      </c>
      <c r="AC40" s="47" t="str">
        <f aca="false">IF(OR(M40="",AND(N40&lt;&gt;"",N(N40)&lt;Parámetros!$B$15)),"",MAX(0,MIN(100,(M40-1)/4*100)))</f>
        <v/>
      </c>
      <c r="AD40" s="47" t="str">
        <f aca="false">IF(OR(P40="",N(Q40)=0),"",MAX(0,MIN(100,((Q40/(Q40+Parámetros!$B$16))*P40+(Parámetros!$B$16/(Q40+Parámetros!$B$16))*Parámetros!$B$17-0.1)/0.4*100)))</f>
        <v/>
      </c>
      <c r="AE40" s="47" t="str">
        <f aca="false">IF(N(R40)&gt;0,MIN(100,S40/R40*100),"")</f>
        <v/>
      </c>
      <c r="AF40" s="47" t="str">
        <f aca="false">IF(N(U40)&gt;0,MIN(100,T40/(U40*5)*100),"")</f>
        <v/>
      </c>
      <c r="AG40" s="47" t="str">
        <f aca="false">IF(OR(V40="",N(W40)&lt;10),"",(V40-1)/4*100)</f>
        <v/>
      </c>
      <c r="AH40" s="47" t="str">
        <f aca="false">IF($C40="","",COUNT(X40:AG40))</f>
        <v/>
      </c>
      <c r="AI40" s="47" t="str">
        <f aca="false">IF(OR($C40="",N(AH40)&lt;Parámetros!$B$18),"",(IF(ISNUMBER(X40),X40*Parámetros!$B$2,0)+IF(ISNUMBER(Y40),Y40*Parámetros!$B$3,0)+IF(ISNUMBER(Z40),Z40*Parámetros!$B$4,0)+IF(ISNUMBER(AA40),AA40*Parámetros!$B$5,0)+IF(ISNUMBER(AB40),AB40*Parámetros!$B$6,0)+IF(ISNUMBER(AC40),AC40*Parámetros!$B$7,0)+IF(ISNUMBER(AD40),AD40*Parámetros!$B$8,0)+IF(ISNUMBER(AE40),AE40*Parámetros!$B$9,0)+IF(ISNUMBER(AF40),AF40*Parámetros!$B$10,0)+IF(ISNUMBER(AG40),AG40*Parámetros!$B$11,0))/(IF(ISNUMBER(X40),Parámetros!$B$2,0)+IF(ISNUMBER(Y40),Parámetros!$B$3,0)+IF(ISNUMBER(Z40),Parámetros!$B$4,0)+IF(ISNUMBER(AA40),Parámetros!$B$5,0)+IF(ISNUMBER(AB40),Parámetros!$B$6,0)+IF(ISNUMBER(AC40),Parámetros!$B$7,0)+IF(ISNUMBER(AD40),Parámetros!$B$8,0)+IF(ISNUMBER(AE40),Parámetros!$B$9,0)+IF(ISNUMBER(AF40),Parámetros!$B$10,0)+IF(ISNUMBER(AG40),Parámetros!$B$11,0)))</f>
        <v/>
      </c>
      <c r="AJ40" s="47" t="n">
        <f aca="false">IF(AND(ISNUMBER(Y40),N(Y40)&lt;60),69.9,IF(OR(AND(ISNUMBER(AE40),N(AE40)&lt;80),AND(ISNUMBER(AC40),N(AC40)&lt;50,N(O40)&gt;=2)),84.9,100))</f>
        <v>100</v>
      </c>
      <c r="AK40" s="47" t="str">
        <f aca="false">IF(AI40="","",MIN(AI40,AJ40))</f>
        <v/>
      </c>
      <c r="AL40" s="47" t="str">
        <f aca="false">IF($C40="","",IF(AK40="","Gris — menos de 3 fuentes",IF(AND(AK40&lt;Parámetros!$B$14,N40&lt;&gt;"",N(N40)&lt;Parámetros!$B$15,N(Y40)&gt;=60),"Gris — repetir observación",IF(AK40&gt;=Parámetros!$B$13,"Verde",IF(AK40&gt;=Parámetros!$B$14,"Amarillo","Rojo")))))</f>
        <v/>
      </c>
      <c r="AM40" s="47" t="str">
        <f aca="false">IF($C40="","",IF(AND(ISNUMBER(Y40),N(Y40)&lt;60),"Ejecución &lt; 60 %: rojo automático",IF(AND(ISNUMBER(AE40),N(AE40)&lt;80),"PIAR &lt; 80 %: máximo amarillo",IF(AND(ISNUMBER(AC40),N(AC40)&lt;50,N(O40)&gt;=2),"Observación &lt; 50: máximo amarillo",IF(AND(N40&lt;&gt;"",N(N40)&lt;Parámetros!$B$15),"κ &lt; 0,60: observación descartada, repetir","")))))</f>
        <v/>
      </c>
    </row>
    <row r="41" customFormat="false" ht="15" hidden="false" customHeight="fals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7" t="str">
        <f aca="false">IF(N(E41)&gt;0,MIN(100,F41/E41*100),"")</f>
        <v/>
      </c>
      <c r="Y41" s="47" t="str">
        <f aca="false">IF(N(G41)&gt;0,MIN(100,H41/G41*100),"")</f>
        <v/>
      </c>
      <c r="Z41" s="47" t="str">
        <f aca="false">IF(N(I41)&gt;0,MIN(100,J41/I41*100),"")</f>
        <v/>
      </c>
      <c r="AA41" s="47" t="str">
        <f aca="false">IF(K41="","",K41/24*100)</f>
        <v/>
      </c>
      <c r="AB41" s="47" t="str">
        <f aca="false">IF(L41="","",L41/3*100)</f>
        <v/>
      </c>
      <c r="AC41" s="47" t="str">
        <f aca="false">IF(OR(M41="",AND(N41&lt;&gt;"",N(N41)&lt;Parámetros!$B$15)),"",MAX(0,MIN(100,(M41-1)/4*100)))</f>
        <v/>
      </c>
      <c r="AD41" s="47" t="str">
        <f aca="false">IF(OR(P41="",N(Q41)=0),"",MAX(0,MIN(100,((Q41/(Q41+Parámetros!$B$16))*P41+(Parámetros!$B$16/(Q41+Parámetros!$B$16))*Parámetros!$B$17-0.1)/0.4*100)))</f>
        <v/>
      </c>
      <c r="AE41" s="47" t="str">
        <f aca="false">IF(N(R41)&gt;0,MIN(100,S41/R41*100),"")</f>
        <v/>
      </c>
      <c r="AF41" s="47" t="str">
        <f aca="false">IF(N(U41)&gt;0,MIN(100,T41/(U41*5)*100),"")</f>
        <v/>
      </c>
      <c r="AG41" s="47" t="str">
        <f aca="false">IF(OR(V41="",N(W41)&lt;10),"",(V41-1)/4*100)</f>
        <v/>
      </c>
      <c r="AH41" s="47" t="str">
        <f aca="false">IF($C41="","",COUNT(X41:AG41))</f>
        <v/>
      </c>
      <c r="AI41" s="47" t="str">
        <f aca="false">IF(OR($C41="",N(AH41)&lt;Parámetros!$B$18),"",(IF(ISNUMBER(X41),X41*Parámetros!$B$2,0)+IF(ISNUMBER(Y41),Y41*Parámetros!$B$3,0)+IF(ISNUMBER(Z41),Z41*Parámetros!$B$4,0)+IF(ISNUMBER(AA41),AA41*Parámetros!$B$5,0)+IF(ISNUMBER(AB41),AB41*Parámetros!$B$6,0)+IF(ISNUMBER(AC41),AC41*Parámetros!$B$7,0)+IF(ISNUMBER(AD41),AD41*Parámetros!$B$8,0)+IF(ISNUMBER(AE41),AE41*Parámetros!$B$9,0)+IF(ISNUMBER(AF41),AF41*Parámetros!$B$10,0)+IF(ISNUMBER(AG41),AG41*Parámetros!$B$11,0))/(IF(ISNUMBER(X41),Parámetros!$B$2,0)+IF(ISNUMBER(Y41),Parámetros!$B$3,0)+IF(ISNUMBER(Z41),Parámetros!$B$4,0)+IF(ISNUMBER(AA41),Parámetros!$B$5,0)+IF(ISNUMBER(AB41),Parámetros!$B$6,0)+IF(ISNUMBER(AC41),Parámetros!$B$7,0)+IF(ISNUMBER(AD41),Parámetros!$B$8,0)+IF(ISNUMBER(AE41),Parámetros!$B$9,0)+IF(ISNUMBER(AF41),Parámetros!$B$10,0)+IF(ISNUMBER(AG41),Parámetros!$B$11,0)))</f>
        <v/>
      </c>
      <c r="AJ41" s="47" t="n">
        <f aca="false">IF(AND(ISNUMBER(Y41),N(Y41)&lt;60),69.9,IF(OR(AND(ISNUMBER(AE41),N(AE41)&lt;80),AND(ISNUMBER(AC41),N(AC41)&lt;50,N(O41)&gt;=2)),84.9,100))</f>
        <v>100</v>
      </c>
      <c r="AK41" s="47" t="str">
        <f aca="false">IF(AI41="","",MIN(AI41,AJ41))</f>
        <v/>
      </c>
      <c r="AL41" s="47" t="str">
        <f aca="false">IF($C41="","",IF(AK41="","Gris — menos de 3 fuentes",IF(AND(AK41&lt;Parámetros!$B$14,N41&lt;&gt;"",N(N41)&lt;Parámetros!$B$15,N(Y41)&gt;=60),"Gris — repetir observación",IF(AK41&gt;=Parámetros!$B$13,"Verde",IF(AK41&gt;=Parámetros!$B$14,"Amarillo","Rojo")))))</f>
        <v/>
      </c>
      <c r="AM41" s="47" t="str">
        <f aca="false">IF($C41="","",IF(AND(ISNUMBER(Y41),N(Y41)&lt;60),"Ejecución &lt; 60 %: rojo automático",IF(AND(ISNUMBER(AE41),N(AE41)&lt;80),"PIAR &lt; 80 %: máximo amarillo",IF(AND(ISNUMBER(AC41),N(AC41)&lt;50,N(O41)&gt;=2),"Observación &lt; 50: máximo amarillo",IF(AND(N41&lt;&gt;"",N(N41)&lt;Parámetros!$B$15),"κ &lt; 0,60: observación descartada, repetir","")))))</f>
        <v/>
      </c>
    </row>
    <row r="42" customFormat="false" ht="15" hidden="false" customHeight="fals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7" t="str">
        <f aca="false">IF(N(E42)&gt;0,MIN(100,F42/E42*100),"")</f>
        <v/>
      </c>
      <c r="Y42" s="47" t="str">
        <f aca="false">IF(N(G42)&gt;0,MIN(100,H42/G42*100),"")</f>
        <v/>
      </c>
      <c r="Z42" s="47" t="str">
        <f aca="false">IF(N(I42)&gt;0,MIN(100,J42/I42*100),"")</f>
        <v/>
      </c>
      <c r="AA42" s="47" t="str">
        <f aca="false">IF(K42="","",K42/24*100)</f>
        <v/>
      </c>
      <c r="AB42" s="47" t="str">
        <f aca="false">IF(L42="","",L42/3*100)</f>
        <v/>
      </c>
      <c r="AC42" s="47" t="str">
        <f aca="false">IF(OR(M42="",AND(N42&lt;&gt;"",N(N42)&lt;Parámetros!$B$15)),"",MAX(0,MIN(100,(M42-1)/4*100)))</f>
        <v/>
      </c>
      <c r="AD42" s="47" t="str">
        <f aca="false">IF(OR(P42="",N(Q42)=0),"",MAX(0,MIN(100,((Q42/(Q42+Parámetros!$B$16))*P42+(Parámetros!$B$16/(Q42+Parámetros!$B$16))*Parámetros!$B$17-0.1)/0.4*100)))</f>
        <v/>
      </c>
      <c r="AE42" s="47" t="str">
        <f aca="false">IF(N(R42)&gt;0,MIN(100,S42/R42*100),"")</f>
        <v/>
      </c>
      <c r="AF42" s="47" t="str">
        <f aca="false">IF(N(U42)&gt;0,MIN(100,T42/(U42*5)*100),"")</f>
        <v/>
      </c>
      <c r="AG42" s="47" t="str">
        <f aca="false">IF(OR(V42="",N(W42)&lt;10),"",(V42-1)/4*100)</f>
        <v/>
      </c>
      <c r="AH42" s="47" t="str">
        <f aca="false">IF($C42="","",COUNT(X42:AG42))</f>
        <v/>
      </c>
      <c r="AI42" s="47" t="str">
        <f aca="false">IF(OR($C42="",N(AH42)&lt;Parámetros!$B$18),"",(IF(ISNUMBER(X42),X42*Parámetros!$B$2,0)+IF(ISNUMBER(Y42),Y42*Parámetros!$B$3,0)+IF(ISNUMBER(Z42),Z42*Parámetros!$B$4,0)+IF(ISNUMBER(AA42),AA42*Parámetros!$B$5,0)+IF(ISNUMBER(AB42),AB42*Parámetros!$B$6,0)+IF(ISNUMBER(AC42),AC42*Parámetros!$B$7,0)+IF(ISNUMBER(AD42),AD42*Parámetros!$B$8,0)+IF(ISNUMBER(AE42),AE42*Parámetros!$B$9,0)+IF(ISNUMBER(AF42),AF42*Parámetros!$B$10,0)+IF(ISNUMBER(AG42),AG42*Parámetros!$B$11,0))/(IF(ISNUMBER(X42),Parámetros!$B$2,0)+IF(ISNUMBER(Y42),Parámetros!$B$3,0)+IF(ISNUMBER(Z42),Parámetros!$B$4,0)+IF(ISNUMBER(AA42),Parámetros!$B$5,0)+IF(ISNUMBER(AB42),Parámetros!$B$6,0)+IF(ISNUMBER(AC42),Parámetros!$B$7,0)+IF(ISNUMBER(AD42),Parámetros!$B$8,0)+IF(ISNUMBER(AE42),Parámetros!$B$9,0)+IF(ISNUMBER(AF42),Parámetros!$B$10,0)+IF(ISNUMBER(AG42),Parámetros!$B$11,0)))</f>
        <v/>
      </c>
      <c r="AJ42" s="47" t="n">
        <f aca="false">IF(AND(ISNUMBER(Y42),N(Y42)&lt;60),69.9,IF(OR(AND(ISNUMBER(AE42),N(AE42)&lt;80),AND(ISNUMBER(AC42),N(AC42)&lt;50,N(O42)&gt;=2)),84.9,100))</f>
        <v>100</v>
      </c>
      <c r="AK42" s="47" t="str">
        <f aca="false">IF(AI42="","",MIN(AI42,AJ42))</f>
        <v/>
      </c>
      <c r="AL42" s="47" t="str">
        <f aca="false">IF($C42="","",IF(AK42="","Gris — menos de 3 fuentes",IF(AND(AK42&lt;Parámetros!$B$14,N42&lt;&gt;"",N(N42)&lt;Parámetros!$B$15,N(Y42)&gt;=60),"Gris — repetir observación",IF(AK42&gt;=Parámetros!$B$13,"Verde",IF(AK42&gt;=Parámetros!$B$14,"Amarillo","Rojo")))))</f>
        <v/>
      </c>
      <c r="AM42" s="47" t="str">
        <f aca="false">IF($C42="","",IF(AND(ISNUMBER(Y42),N(Y42)&lt;60),"Ejecución &lt; 60 %: rojo automático",IF(AND(ISNUMBER(AE42),N(AE42)&lt;80),"PIAR &lt; 80 %: máximo amarillo",IF(AND(ISNUMBER(AC42),N(AC42)&lt;50,N(O42)&gt;=2),"Observación &lt; 50: máximo amarillo",IF(AND(N42&lt;&gt;"",N(N42)&lt;Parámetros!$B$15),"κ &lt; 0,60: observación descartada, repetir","")))))</f>
        <v/>
      </c>
    </row>
    <row r="43" customFormat="false" ht="15" hidden="false" customHeight="fals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7" t="str">
        <f aca="false">IF(N(E43)&gt;0,MIN(100,F43/E43*100),"")</f>
        <v/>
      </c>
      <c r="Y43" s="47" t="str">
        <f aca="false">IF(N(G43)&gt;0,MIN(100,H43/G43*100),"")</f>
        <v/>
      </c>
      <c r="Z43" s="47" t="str">
        <f aca="false">IF(N(I43)&gt;0,MIN(100,J43/I43*100),"")</f>
        <v/>
      </c>
      <c r="AA43" s="47" t="str">
        <f aca="false">IF(K43="","",K43/24*100)</f>
        <v/>
      </c>
      <c r="AB43" s="47" t="str">
        <f aca="false">IF(L43="","",L43/3*100)</f>
        <v/>
      </c>
      <c r="AC43" s="47" t="str">
        <f aca="false">IF(OR(M43="",AND(N43&lt;&gt;"",N(N43)&lt;Parámetros!$B$15)),"",MAX(0,MIN(100,(M43-1)/4*100)))</f>
        <v/>
      </c>
      <c r="AD43" s="47" t="str">
        <f aca="false">IF(OR(P43="",N(Q43)=0),"",MAX(0,MIN(100,((Q43/(Q43+Parámetros!$B$16))*P43+(Parámetros!$B$16/(Q43+Parámetros!$B$16))*Parámetros!$B$17-0.1)/0.4*100)))</f>
        <v/>
      </c>
      <c r="AE43" s="47" t="str">
        <f aca="false">IF(N(R43)&gt;0,MIN(100,S43/R43*100),"")</f>
        <v/>
      </c>
      <c r="AF43" s="47" t="str">
        <f aca="false">IF(N(U43)&gt;0,MIN(100,T43/(U43*5)*100),"")</f>
        <v/>
      </c>
      <c r="AG43" s="47" t="str">
        <f aca="false">IF(OR(V43="",N(W43)&lt;10),"",(V43-1)/4*100)</f>
        <v/>
      </c>
      <c r="AH43" s="47" t="str">
        <f aca="false">IF($C43="","",COUNT(X43:AG43))</f>
        <v/>
      </c>
      <c r="AI43" s="47" t="str">
        <f aca="false">IF(OR($C43="",N(AH43)&lt;Parámetros!$B$18),"",(IF(ISNUMBER(X43),X43*Parámetros!$B$2,0)+IF(ISNUMBER(Y43),Y43*Parámetros!$B$3,0)+IF(ISNUMBER(Z43),Z43*Parámetros!$B$4,0)+IF(ISNUMBER(AA43),AA43*Parámetros!$B$5,0)+IF(ISNUMBER(AB43),AB43*Parámetros!$B$6,0)+IF(ISNUMBER(AC43),AC43*Parámetros!$B$7,0)+IF(ISNUMBER(AD43),AD43*Parámetros!$B$8,0)+IF(ISNUMBER(AE43),AE43*Parámetros!$B$9,0)+IF(ISNUMBER(AF43),AF43*Parámetros!$B$10,0)+IF(ISNUMBER(AG43),AG43*Parámetros!$B$11,0))/(IF(ISNUMBER(X43),Parámetros!$B$2,0)+IF(ISNUMBER(Y43),Parámetros!$B$3,0)+IF(ISNUMBER(Z43),Parámetros!$B$4,0)+IF(ISNUMBER(AA43),Parámetros!$B$5,0)+IF(ISNUMBER(AB43),Parámetros!$B$6,0)+IF(ISNUMBER(AC43),Parámetros!$B$7,0)+IF(ISNUMBER(AD43),Parámetros!$B$8,0)+IF(ISNUMBER(AE43),Parámetros!$B$9,0)+IF(ISNUMBER(AF43),Parámetros!$B$10,0)+IF(ISNUMBER(AG43),Parámetros!$B$11,0)))</f>
        <v/>
      </c>
      <c r="AJ43" s="47" t="n">
        <f aca="false">IF(AND(ISNUMBER(Y43),N(Y43)&lt;60),69.9,IF(OR(AND(ISNUMBER(AE43),N(AE43)&lt;80),AND(ISNUMBER(AC43),N(AC43)&lt;50,N(O43)&gt;=2)),84.9,100))</f>
        <v>100</v>
      </c>
      <c r="AK43" s="47" t="str">
        <f aca="false">IF(AI43="","",MIN(AI43,AJ43))</f>
        <v/>
      </c>
      <c r="AL43" s="47" t="str">
        <f aca="false">IF($C43="","",IF(AK43="","Gris — menos de 3 fuentes",IF(AND(AK43&lt;Parámetros!$B$14,N43&lt;&gt;"",N(N43)&lt;Parámetros!$B$15,N(Y43)&gt;=60),"Gris — repetir observación",IF(AK43&gt;=Parámetros!$B$13,"Verde",IF(AK43&gt;=Parámetros!$B$14,"Amarillo","Rojo")))))</f>
        <v/>
      </c>
      <c r="AM43" s="47" t="str">
        <f aca="false">IF($C43="","",IF(AND(ISNUMBER(Y43),N(Y43)&lt;60),"Ejecución &lt; 60 %: rojo automático",IF(AND(ISNUMBER(AE43),N(AE43)&lt;80),"PIAR &lt; 80 %: máximo amarillo",IF(AND(ISNUMBER(AC43),N(AC43)&lt;50,N(O43)&gt;=2),"Observación &lt; 50: máximo amarillo",IF(AND(N43&lt;&gt;"",N(N43)&lt;Parámetros!$B$15),"κ &lt; 0,60: observación descartada, repetir","")))))</f>
        <v/>
      </c>
    </row>
    <row r="44" customFormat="false" ht="15" hidden="false" customHeight="fals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7" t="str">
        <f aca="false">IF(N(E44)&gt;0,MIN(100,F44/E44*100),"")</f>
        <v/>
      </c>
      <c r="Y44" s="47" t="str">
        <f aca="false">IF(N(G44)&gt;0,MIN(100,H44/G44*100),"")</f>
        <v/>
      </c>
      <c r="Z44" s="47" t="str">
        <f aca="false">IF(N(I44)&gt;0,MIN(100,J44/I44*100),"")</f>
        <v/>
      </c>
      <c r="AA44" s="47" t="str">
        <f aca="false">IF(K44="","",K44/24*100)</f>
        <v/>
      </c>
      <c r="AB44" s="47" t="str">
        <f aca="false">IF(L44="","",L44/3*100)</f>
        <v/>
      </c>
      <c r="AC44" s="47" t="str">
        <f aca="false">IF(OR(M44="",AND(N44&lt;&gt;"",N(N44)&lt;Parámetros!$B$15)),"",MAX(0,MIN(100,(M44-1)/4*100)))</f>
        <v/>
      </c>
      <c r="AD44" s="47" t="str">
        <f aca="false">IF(OR(P44="",N(Q44)=0),"",MAX(0,MIN(100,((Q44/(Q44+Parámetros!$B$16))*P44+(Parámetros!$B$16/(Q44+Parámetros!$B$16))*Parámetros!$B$17-0.1)/0.4*100)))</f>
        <v/>
      </c>
      <c r="AE44" s="47" t="str">
        <f aca="false">IF(N(R44)&gt;0,MIN(100,S44/R44*100),"")</f>
        <v/>
      </c>
      <c r="AF44" s="47" t="str">
        <f aca="false">IF(N(U44)&gt;0,MIN(100,T44/(U44*5)*100),"")</f>
        <v/>
      </c>
      <c r="AG44" s="47" t="str">
        <f aca="false">IF(OR(V44="",N(W44)&lt;10),"",(V44-1)/4*100)</f>
        <v/>
      </c>
      <c r="AH44" s="47" t="str">
        <f aca="false">IF($C44="","",COUNT(X44:AG44))</f>
        <v/>
      </c>
      <c r="AI44" s="47" t="str">
        <f aca="false">IF(OR($C44="",N(AH44)&lt;Parámetros!$B$18),"",(IF(ISNUMBER(X44),X44*Parámetros!$B$2,0)+IF(ISNUMBER(Y44),Y44*Parámetros!$B$3,0)+IF(ISNUMBER(Z44),Z44*Parámetros!$B$4,0)+IF(ISNUMBER(AA44),AA44*Parámetros!$B$5,0)+IF(ISNUMBER(AB44),AB44*Parámetros!$B$6,0)+IF(ISNUMBER(AC44),AC44*Parámetros!$B$7,0)+IF(ISNUMBER(AD44),AD44*Parámetros!$B$8,0)+IF(ISNUMBER(AE44),AE44*Parámetros!$B$9,0)+IF(ISNUMBER(AF44),AF44*Parámetros!$B$10,0)+IF(ISNUMBER(AG44),AG44*Parámetros!$B$11,0))/(IF(ISNUMBER(X44),Parámetros!$B$2,0)+IF(ISNUMBER(Y44),Parámetros!$B$3,0)+IF(ISNUMBER(Z44),Parámetros!$B$4,0)+IF(ISNUMBER(AA44),Parámetros!$B$5,0)+IF(ISNUMBER(AB44),Parámetros!$B$6,0)+IF(ISNUMBER(AC44),Parámetros!$B$7,0)+IF(ISNUMBER(AD44),Parámetros!$B$8,0)+IF(ISNUMBER(AE44),Parámetros!$B$9,0)+IF(ISNUMBER(AF44),Parámetros!$B$10,0)+IF(ISNUMBER(AG44),Parámetros!$B$11,0)))</f>
        <v/>
      </c>
      <c r="AJ44" s="47" t="n">
        <f aca="false">IF(AND(ISNUMBER(Y44),N(Y44)&lt;60),69.9,IF(OR(AND(ISNUMBER(AE44),N(AE44)&lt;80),AND(ISNUMBER(AC44),N(AC44)&lt;50,N(O44)&gt;=2)),84.9,100))</f>
        <v>100</v>
      </c>
      <c r="AK44" s="47" t="str">
        <f aca="false">IF(AI44="","",MIN(AI44,AJ44))</f>
        <v/>
      </c>
      <c r="AL44" s="47" t="str">
        <f aca="false">IF($C44="","",IF(AK44="","Gris — menos de 3 fuentes",IF(AND(AK44&lt;Parámetros!$B$14,N44&lt;&gt;"",N(N44)&lt;Parámetros!$B$15,N(Y44)&gt;=60),"Gris — repetir observación",IF(AK44&gt;=Parámetros!$B$13,"Verde",IF(AK44&gt;=Parámetros!$B$14,"Amarillo","Rojo")))))</f>
        <v/>
      </c>
      <c r="AM44" s="47" t="str">
        <f aca="false">IF($C44="","",IF(AND(ISNUMBER(Y44),N(Y44)&lt;60),"Ejecución &lt; 60 %: rojo automático",IF(AND(ISNUMBER(AE44),N(AE44)&lt;80),"PIAR &lt; 80 %: máximo amarillo",IF(AND(ISNUMBER(AC44),N(AC44)&lt;50,N(O44)&gt;=2),"Observación &lt; 50: máximo amarillo",IF(AND(N44&lt;&gt;"",N(N44)&lt;Parámetros!$B$15),"κ &lt; 0,60: observación descartada, repetir","")))))</f>
        <v/>
      </c>
    </row>
    <row r="45" customFormat="false" ht="15" hidden="false" customHeight="fals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7" t="str">
        <f aca="false">IF(N(E45)&gt;0,MIN(100,F45/E45*100),"")</f>
        <v/>
      </c>
      <c r="Y45" s="47" t="str">
        <f aca="false">IF(N(G45)&gt;0,MIN(100,H45/G45*100),"")</f>
        <v/>
      </c>
      <c r="Z45" s="47" t="str">
        <f aca="false">IF(N(I45)&gt;0,MIN(100,J45/I45*100),"")</f>
        <v/>
      </c>
      <c r="AA45" s="47" t="str">
        <f aca="false">IF(K45="","",K45/24*100)</f>
        <v/>
      </c>
      <c r="AB45" s="47" t="str">
        <f aca="false">IF(L45="","",L45/3*100)</f>
        <v/>
      </c>
      <c r="AC45" s="47" t="str">
        <f aca="false">IF(OR(M45="",AND(N45&lt;&gt;"",N(N45)&lt;Parámetros!$B$15)),"",MAX(0,MIN(100,(M45-1)/4*100)))</f>
        <v/>
      </c>
      <c r="AD45" s="47" t="str">
        <f aca="false">IF(OR(P45="",N(Q45)=0),"",MAX(0,MIN(100,((Q45/(Q45+Parámetros!$B$16))*P45+(Parámetros!$B$16/(Q45+Parámetros!$B$16))*Parámetros!$B$17-0.1)/0.4*100)))</f>
        <v/>
      </c>
      <c r="AE45" s="47" t="str">
        <f aca="false">IF(N(R45)&gt;0,MIN(100,S45/R45*100),"")</f>
        <v/>
      </c>
      <c r="AF45" s="47" t="str">
        <f aca="false">IF(N(U45)&gt;0,MIN(100,T45/(U45*5)*100),"")</f>
        <v/>
      </c>
      <c r="AG45" s="47" t="str">
        <f aca="false">IF(OR(V45="",N(W45)&lt;10),"",(V45-1)/4*100)</f>
        <v/>
      </c>
      <c r="AH45" s="47" t="str">
        <f aca="false">IF($C45="","",COUNT(X45:AG45))</f>
        <v/>
      </c>
      <c r="AI45" s="47" t="str">
        <f aca="false">IF(OR($C45="",N(AH45)&lt;Parámetros!$B$18),"",(IF(ISNUMBER(X45),X45*Parámetros!$B$2,0)+IF(ISNUMBER(Y45),Y45*Parámetros!$B$3,0)+IF(ISNUMBER(Z45),Z45*Parámetros!$B$4,0)+IF(ISNUMBER(AA45),AA45*Parámetros!$B$5,0)+IF(ISNUMBER(AB45),AB45*Parámetros!$B$6,0)+IF(ISNUMBER(AC45),AC45*Parámetros!$B$7,0)+IF(ISNUMBER(AD45),AD45*Parámetros!$B$8,0)+IF(ISNUMBER(AE45),AE45*Parámetros!$B$9,0)+IF(ISNUMBER(AF45),AF45*Parámetros!$B$10,0)+IF(ISNUMBER(AG45),AG45*Parámetros!$B$11,0))/(IF(ISNUMBER(X45),Parámetros!$B$2,0)+IF(ISNUMBER(Y45),Parámetros!$B$3,0)+IF(ISNUMBER(Z45),Parámetros!$B$4,0)+IF(ISNUMBER(AA45),Parámetros!$B$5,0)+IF(ISNUMBER(AB45),Parámetros!$B$6,0)+IF(ISNUMBER(AC45),Parámetros!$B$7,0)+IF(ISNUMBER(AD45),Parámetros!$B$8,0)+IF(ISNUMBER(AE45),Parámetros!$B$9,0)+IF(ISNUMBER(AF45),Parámetros!$B$10,0)+IF(ISNUMBER(AG45),Parámetros!$B$11,0)))</f>
        <v/>
      </c>
      <c r="AJ45" s="47" t="n">
        <f aca="false">IF(AND(ISNUMBER(Y45),N(Y45)&lt;60),69.9,IF(OR(AND(ISNUMBER(AE45),N(AE45)&lt;80),AND(ISNUMBER(AC45),N(AC45)&lt;50,N(O45)&gt;=2)),84.9,100))</f>
        <v>100</v>
      </c>
      <c r="AK45" s="47" t="str">
        <f aca="false">IF(AI45="","",MIN(AI45,AJ45))</f>
        <v/>
      </c>
      <c r="AL45" s="47" t="str">
        <f aca="false">IF($C45="","",IF(AK45="","Gris — menos de 3 fuentes",IF(AND(AK45&lt;Parámetros!$B$14,N45&lt;&gt;"",N(N45)&lt;Parámetros!$B$15,N(Y45)&gt;=60),"Gris — repetir observación",IF(AK45&gt;=Parámetros!$B$13,"Verde",IF(AK45&gt;=Parámetros!$B$14,"Amarillo","Rojo")))))</f>
        <v/>
      </c>
      <c r="AM45" s="47" t="str">
        <f aca="false">IF($C45="","",IF(AND(ISNUMBER(Y45),N(Y45)&lt;60),"Ejecución &lt; 60 %: rojo automático",IF(AND(ISNUMBER(AE45),N(AE45)&lt;80),"PIAR &lt; 80 %: máximo amarillo",IF(AND(ISNUMBER(AC45),N(AC45)&lt;50,N(O45)&gt;=2),"Observación &lt; 50: máximo amarillo",IF(AND(N45&lt;&gt;"",N(N45)&lt;Parámetros!$B$15),"κ &lt; 0,60: observación descartada, repetir","")))))</f>
        <v/>
      </c>
    </row>
    <row r="46" customFormat="false" ht="15" hidden="false" customHeight="fals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7" t="str">
        <f aca="false">IF(N(E46)&gt;0,MIN(100,F46/E46*100),"")</f>
        <v/>
      </c>
      <c r="Y46" s="47" t="str">
        <f aca="false">IF(N(G46)&gt;0,MIN(100,H46/G46*100),"")</f>
        <v/>
      </c>
      <c r="Z46" s="47" t="str">
        <f aca="false">IF(N(I46)&gt;0,MIN(100,J46/I46*100),"")</f>
        <v/>
      </c>
      <c r="AA46" s="47" t="str">
        <f aca="false">IF(K46="","",K46/24*100)</f>
        <v/>
      </c>
      <c r="AB46" s="47" t="str">
        <f aca="false">IF(L46="","",L46/3*100)</f>
        <v/>
      </c>
      <c r="AC46" s="47" t="str">
        <f aca="false">IF(OR(M46="",AND(N46&lt;&gt;"",N(N46)&lt;Parámetros!$B$15)),"",MAX(0,MIN(100,(M46-1)/4*100)))</f>
        <v/>
      </c>
      <c r="AD46" s="47" t="str">
        <f aca="false">IF(OR(P46="",N(Q46)=0),"",MAX(0,MIN(100,((Q46/(Q46+Parámetros!$B$16))*P46+(Parámetros!$B$16/(Q46+Parámetros!$B$16))*Parámetros!$B$17-0.1)/0.4*100)))</f>
        <v/>
      </c>
      <c r="AE46" s="47" t="str">
        <f aca="false">IF(N(R46)&gt;0,MIN(100,S46/R46*100),"")</f>
        <v/>
      </c>
      <c r="AF46" s="47" t="str">
        <f aca="false">IF(N(U46)&gt;0,MIN(100,T46/(U46*5)*100),"")</f>
        <v/>
      </c>
      <c r="AG46" s="47" t="str">
        <f aca="false">IF(OR(V46="",N(W46)&lt;10),"",(V46-1)/4*100)</f>
        <v/>
      </c>
      <c r="AH46" s="47" t="str">
        <f aca="false">IF($C46="","",COUNT(X46:AG46))</f>
        <v/>
      </c>
      <c r="AI46" s="47" t="str">
        <f aca="false">IF(OR($C46="",N(AH46)&lt;Parámetros!$B$18),"",(IF(ISNUMBER(X46),X46*Parámetros!$B$2,0)+IF(ISNUMBER(Y46),Y46*Parámetros!$B$3,0)+IF(ISNUMBER(Z46),Z46*Parámetros!$B$4,0)+IF(ISNUMBER(AA46),AA46*Parámetros!$B$5,0)+IF(ISNUMBER(AB46),AB46*Parámetros!$B$6,0)+IF(ISNUMBER(AC46),AC46*Parámetros!$B$7,0)+IF(ISNUMBER(AD46),AD46*Parámetros!$B$8,0)+IF(ISNUMBER(AE46),AE46*Parámetros!$B$9,0)+IF(ISNUMBER(AF46),AF46*Parámetros!$B$10,0)+IF(ISNUMBER(AG46),AG46*Parámetros!$B$11,0))/(IF(ISNUMBER(X46),Parámetros!$B$2,0)+IF(ISNUMBER(Y46),Parámetros!$B$3,0)+IF(ISNUMBER(Z46),Parámetros!$B$4,0)+IF(ISNUMBER(AA46),Parámetros!$B$5,0)+IF(ISNUMBER(AB46),Parámetros!$B$6,0)+IF(ISNUMBER(AC46),Parámetros!$B$7,0)+IF(ISNUMBER(AD46),Parámetros!$B$8,0)+IF(ISNUMBER(AE46),Parámetros!$B$9,0)+IF(ISNUMBER(AF46),Parámetros!$B$10,0)+IF(ISNUMBER(AG46),Parámetros!$B$11,0)))</f>
        <v/>
      </c>
      <c r="AJ46" s="47" t="n">
        <f aca="false">IF(AND(ISNUMBER(Y46),N(Y46)&lt;60),69.9,IF(OR(AND(ISNUMBER(AE46),N(AE46)&lt;80),AND(ISNUMBER(AC46),N(AC46)&lt;50,N(O46)&gt;=2)),84.9,100))</f>
        <v>100</v>
      </c>
      <c r="AK46" s="47" t="str">
        <f aca="false">IF(AI46="","",MIN(AI46,AJ46))</f>
        <v/>
      </c>
      <c r="AL46" s="47" t="str">
        <f aca="false">IF($C46="","",IF(AK46="","Gris — menos de 3 fuentes",IF(AND(AK46&lt;Parámetros!$B$14,N46&lt;&gt;"",N(N46)&lt;Parámetros!$B$15,N(Y46)&gt;=60),"Gris — repetir observación",IF(AK46&gt;=Parámetros!$B$13,"Verde",IF(AK46&gt;=Parámetros!$B$14,"Amarillo","Rojo")))))</f>
        <v/>
      </c>
      <c r="AM46" s="47" t="str">
        <f aca="false">IF($C46="","",IF(AND(ISNUMBER(Y46),N(Y46)&lt;60),"Ejecución &lt; 60 %: rojo automático",IF(AND(ISNUMBER(AE46),N(AE46)&lt;80),"PIAR &lt; 80 %: máximo amarillo",IF(AND(ISNUMBER(AC46),N(AC46)&lt;50,N(O46)&gt;=2),"Observación &lt; 50: máximo amarillo",IF(AND(N46&lt;&gt;"",N(N46)&lt;Parámetros!$B$15),"κ &lt; 0,60: observación descartada, repetir","")))))</f>
        <v/>
      </c>
    </row>
    <row r="47" customFormat="false" ht="15" hidden="false" customHeight="fals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7" t="str">
        <f aca="false">IF(N(E47)&gt;0,MIN(100,F47/E47*100),"")</f>
        <v/>
      </c>
      <c r="Y47" s="47" t="str">
        <f aca="false">IF(N(G47)&gt;0,MIN(100,H47/G47*100),"")</f>
        <v/>
      </c>
      <c r="Z47" s="47" t="str">
        <f aca="false">IF(N(I47)&gt;0,MIN(100,J47/I47*100),"")</f>
        <v/>
      </c>
      <c r="AA47" s="47" t="str">
        <f aca="false">IF(K47="","",K47/24*100)</f>
        <v/>
      </c>
      <c r="AB47" s="47" t="str">
        <f aca="false">IF(L47="","",L47/3*100)</f>
        <v/>
      </c>
      <c r="AC47" s="47" t="str">
        <f aca="false">IF(OR(M47="",AND(N47&lt;&gt;"",N(N47)&lt;Parámetros!$B$15)),"",MAX(0,MIN(100,(M47-1)/4*100)))</f>
        <v/>
      </c>
      <c r="AD47" s="47" t="str">
        <f aca="false">IF(OR(P47="",N(Q47)=0),"",MAX(0,MIN(100,((Q47/(Q47+Parámetros!$B$16))*P47+(Parámetros!$B$16/(Q47+Parámetros!$B$16))*Parámetros!$B$17-0.1)/0.4*100)))</f>
        <v/>
      </c>
      <c r="AE47" s="47" t="str">
        <f aca="false">IF(N(R47)&gt;0,MIN(100,S47/R47*100),"")</f>
        <v/>
      </c>
      <c r="AF47" s="47" t="str">
        <f aca="false">IF(N(U47)&gt;0,MIN(100,T47/(U47*5)*100),"")</f>
        <v/>
      </c>
      <c r="AG47" s="47" t="str">
        <f aca="false">IF(OR(V47="",N(W47)&lt;10),"",(V47-1)/4*100)</f>
        <v/>
      </c>
      <c r="AH47" s="47" t="str">
        <f aca="false">IF($C47="","",COUNT(X47:AG47))</f>
        <v/>
      </c>
      <c r="AI47" s="47" t="str">
        <f aca="false">IF(OR($C47="",N(AH47)&lt;Parámetros!$B$18),"",(IF(ISNUMBER(X47),X47*Parámetros!$B$2,0)+IF(ISNUMBER(Y47),Y47*Parámetros!$B$3,0)+IF(ISNUMBER(Z47),Z47*Parámetros!$B$4,0)+IF(ISNUMBER(AA47),AA47*Parámetros!$B$5,0)+IF(ISNUMBER(AB47),AB47*Parámetros!$B$6,0)+IF(ISNUMBER(AC47),AC47*Parámetros!$B$7,0)+IF(ISNUMBER(AD47),AD47*Parámetros!$B$8,0)+IF(ISNUMBER(AE47),AE47*Parámetros!$B$9,0)+IF(ISNUMBER(AF47),AF47*Parámetros!$B$10,0)+IF(ISNUMBER(AG47),AG47*Parámetros!$B$11,0))/(IF(ISNUMBER(X47),Parámetros!$B$2,0)+IF(ISNUMBER(Y47),Parámetros!$B$3,0)+IF(ISNUMBER(Z47),Parámetros!$B$4,0)+IF(ISNUMBER(AA47),Parámetros!$B$5,0)+IF(ISNUMBER(AB47),Parámetros!$B$6,0)+IF(ISNUMBER(AC47),Parámetros!$B$7,0)+IF(ISNUMBER(AD47),Parámetros!$B$8,0)+IF(ISNUMBER(AE47),Parámetros!$B$9,0)+IF(ISNUMBER(AF47),Parámetros!$B$10,0)+IF(ISNUMBER(AG47),Parámetros!$B$11,0)))</f>
        <v/>
      </c>
      <c r="AJ47" s="47" t="n">
        <f aca="false">IF(AND(ISNUMBER(Y47),N(Y47)&lt;60),69.9,IF(OR(AND(ISNUMBER(AE47),N(AE47)&lt;80),AND(ISNUMBER(AC47),N(AC47)&lt;50,N(O47)&gt;=2)),84.9,100))</f>
        <v>100</v>
      </c>
      <c r="AK47" s="47" t="str">
        <f aca="false">IF(AI47="","",MIN(AI47,AJ47))</f>
        <v/>
      </c>
      <c r="AL47" s="47" t="str">
        <f aca="false">IF($C47="","",IF(AK47="","Gris — menos de 3 fuentes",IF(AND(AK47&lt;Parámetros!$B$14,N47&lt;&gt;"",N(N47)&lt;Parámetros!$B$15,N(Y47)&gt;=60),"Gris — repetir observación",IF(AK47&gt;=Parámetros!$B$13,"Verde",IF(AK47&gt;=Parámetros!$B$14,"Amarillo","Rojo")))))</f>
        <v/>
      </c>
      <c r="AM47" s="47" t="str">
        <f aca="false">IF($C47="","",IF(AND(ISNUMBER(Y47),N(Y47)&lt;60),"Ejecución &lt; 60 %: rojo automático",IF(AND(ISNUMBER(AE47),N(AE47)&lt;80),"PIAR &lt; 80 %: máximo amarillo",IF(AND(ISNUMBER(AC47),N(AC47)&lt;50,N(O47)&gt;=2),"Observación &lt; 50: máximo amarillo",IF(AND(N47&lt;&gt;"",N(N47)&lt;Parámetros!$B$15),"κ &lt; 0,60: observación descartada, repetir","")))))</f>
        <v/>
      </c>
    </row>
    <row r="48" customFormat="false" ht="15" hidden="false" customHeight="fals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7" t="str">
        <f aca="false">IF(N(E48)&gt;0,MIN(100,F48/E48*100),"")</f>
        <v/>
      </c>
      <c r="Y48" s="47" t="str">
        <f aca="false">IF(N(G48)&gt;0,MIN(100,H48/G48*100),"")</f>
        <v/>
      </c>
      <c r="Z48" s="47" t="str">
        <f aca="false">IF(N(I48)&gt;0,MIN(100,J48/I48*100),"")</f>
        <v/>
      </c>
      <c r="AA48" s="47" t="str">
        <f aca="false">IF(K48="","",K48/24*100)</f>
        <v/>
      </c>
      <c r="AB48" s="47" t="str">
        <f aca="false">IF(L48="","",L48/3*100)</f>
        <v/>
      </c>
      <c r="AC48" s="47" t="str">
        <f aca="false">IF(OR(M48="",AND(N48&lt;&gt;"",N(N48)&lt;Parámetros!$B$15)),"",MAX(0,MIN(100,(M48-1)/4*100)))</f>
        <v/>
      </c>
      <c r="AD48" s="47" t="str">
        <f aca="false">IF(OR(P48="",N(Q48)=0),"",MAX(0,MIN(100,((Q48/(Q48+Parámetros!$B$16))*P48+(Parámetros!$B$16/(Q48+Parámetros!$B$16))*Parámetros!$B$17-0.1)/0.4*100)))</f>
        <v/>
      </c>
      <c r="AE48" s="47" t="str">
        <f aca="false">IF(N(R48)&gt;0,MIN(100,S48/R48*100),"")</f>
        <v/>
      </c>
      <c r="AF48" s="47" t="str">
        <f aca="false">IF(N(U48)&gt;0,MIN(100,T48/(U48*5)*100),"")</f>
        <v/>
      </c>
      <c r="AG48" s="47" t="str">
        <f aca="false">IF(OR(V48="",N(W48)&lt;10),"",(V48-1)/4*100)</f>
        <v/>
      </c>
      <c r="AH48" s="47" t="str">
        <f aca="false">IF($C48="","",COUNT(X48:AG48))</f>
        <v/>
      </c>
      <c r="AI48" s="47" t="str">
        <f aca="false">IF(OR($C48="",N(AH48)&lt;Parámetros!$B$18),"",(IF(ISNUMBER(X48),X48*Parámetros!$B$2,0)+IF(ISNUMBER(Y48),Y48*Parámetros!$B$3,0)+IF(ISNUMBER(Z48),Z48*Parámetros!$B$4,0)+IF(ISNUMBER(AA48),AA48*Parámetros!$B$5,0)+IF(ISNUMBER(AB48),AB48*Parámetros!$B$6,0)+IF(ISNUMBER(AC48),AC48*Parámetros!$B$7,0)+IF(ISNUMBER(AD48),AD48*Parámetros!$B$8,0)+IF(ISNUMBER(AE48),AE48*Parámetros!$B$9,0)+IF(ISNUMBER(AF48),AF48*Parámetros!$B$10,0)+IF(ISNUMBER(AG48),AG48*Parámetros!$B$11,0))/(IF(ISNUMBER(X48),Parámetros!$B$2,0)+IF(ISNUMBER(Y48),Parámetros!$B$3,0)+IF(ISNUMBER(Z48),Parámetros!$B$4,0)+IF(ISNUMBER(AA48),Parámetros!$B$5,0)+IF(ISNUMBER(AB48),Parámetros!$B$6,0)+IF(ISNUMBER(AC48),Parámetros!$B$7,0)+IF(ISNUMBER(AD48),Parámetros!$B$8,0)+IF(ISNUMBER(AE48),Parámetros!$B$9,0)+IF(ISNUMBER(AF48),Parámetros!$B$10,0)+IF(ISNUMBER(AG48),Parámetros!$B$11,0)))</f>
        <v/>
      </c>
      <c r="AJ48" s="47" t="n">
        <f aca="false">IF(AND(ISNUMBER(Y48),N(Y48)&lt;60),69.9,IF(OR(AND(ISNUMBER(AE48),N(AE48)&lt;80),AND(ISNUMBER(AC48),N(AC48)&lt;50,N(O48)&gt;=2)),84.9,100))</f>
        <v>100</v>
      </c>
      <c r="AK48" s="47" t="str">
        <f aca="false">IF(AI48="","",MIN(AI48,AJ48))</f>
        <v/>
      </c>
      <c r="AL48" s="47" t="str">
        <f aca="false">IF($C48="","",IF(AK48="","Gris — menos de 3 fuentes",IF(AND(AK48&lt;Parámetros!$B$14,N48&lt;&gt;"",N(N48)&lt;Parámetros!$B$15,N(Y48)&gt;=60),"Gris — repetir observación",IF(AK48&gt;=Parámetros!$B$13,"Verde",IF(AK48&gt;=Parámetros!$B$14,"Amarillo","Rojo")))))</f>
        <v/>
      </c>
      <c r="AM48" s="47" t="str">
        <f aca="false">IF($C48="","",IF(AND(ISNUMBER(Y48),N(Y48)&lt;60),"Ejecución &lt; 60 %: rojo automático",IF(AND(ISNUMBER(AE48),N(AE48)&lt;80),"PIAR &lt; 80 %: máximo amarillo",IF(AND(ISNUMBER(AC48),N(AC48)&lt;50,N(O48)&gt;=2),"Observación &lt; 50: máximo amarillo",IF(AND(N48&lt;&gt;"",N(N48)&lt;Parámetros!$B$15),"κ &lt; 0,60: observación descartada, repetir","")))))</f>
        <v/>
      </c>
    </row>
    <row r="49" customFormat="false" ht="15" hidden="false" customHeight="fals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7" t="str">
        <f aca="false">IF(N(E49)&gt;0,MIN(100,F49/E49*100),"")</f>
        <v/>
      </c>
      <c r="Y49" s="47" t="str">
        <f aca="false">IF(N(G49)&gt;0,MIN(100,H49/G49*100),"")</f>
        <v/>
      </c>
      <c r="Z49" s="47" t="str">
        <f aca="false">IF(N(I49)&gt;0,MIN(100,J49/I49*100),"")</f>
        <v/>
      </c>
      <c r="AA49" s="47" t="str">
        <f aca="false">IF(K49="","",K49/24*100)</f>
        <v/>
      </c>
      <c r="AB49" s="47" t="str">
        <f aca="false">IF(L49="","",L49/3*100)</f>
        <v/>
      </c>
      <c r="AC49" s="47" t="str">
        <f aca="false">IF(OR(M49="",AND(N49&lt;&gt;"",N(N49)&lt;Parámetros!$B$15)),"",MAX(0,MIN(100,(M49-1)/4*100)))</f>
        <v/>
      </c>
      <c r="AD49" s="47" t="str">
        <f aca="false">IF(OR(P49="",N(Q49)=0),"",MAX(0,MIN(100,((Q49/(Q49+Parámetros!$B$16))*P49+(Parámetros!$B$16/(Q49+Parámetros!$B$16))*Parámetros!$B$17-0.1)/0.4*100)))</f>
        <v/>
      </c>
      <c r="AE49" s="47" t="str">
        <f aca="false">IF(N(R49)&gt;0,MIN(100,S49/R49*100),"")</f>
        <v/>
      </c>
      <c r="AF49" s="47" t="str">
        <f aca="false">IF(N(U49)&gt;0,MIN(100,T49/(U49*5)*100),"")</f>
        <v/>
      </c>
      <c r="AG49" s="47" t="str">
        <f aca="false">IF(OR(V49="",N(W49)&lt;10),"",(V49-1)/4*100)</f>
        <v/>
      </c>
      <c r="AH49" s="47" t="str">
        <f aca="false">IF($C49="","",COUNT(X49:AG49))</f>
        <v/>
      </c>
      <c r="AI49" s="47" t="str">
        <f aca="false">IF(OR($C49="",N(AH49)&lt;Parámetros!$B$18),"",(IF(ISNUMBER(X49),X49*Parámetros!$B$2,0)+IF(ISNUMBER(Y49),Y49*Parámetros!$B$3,0)+IF(ISNUMBER(Z49),Z49*Parámetros!$B$4,0)+IF(ISNUMBER(AA49),AA49*Parámetros!$B$5,0)+IF(ISNUMBER(AB49),AB49*Parámetros!$B$6,0)+IF(ISNUMBER(AC49),AC49*Parámetros!$B$7,0)+IF(ISNUMBER(AD49),AD49*Parámetros!$B$8,0)+IF(ISNUMBER(AE49),AE49*Parámetros!$B$9,0)+IF(ISNUMBER(AF49),AF49*Parámetros!$B$10,0)+IF(ISNUMBER(AG49),AG49*Parámetros!$B$11,0))/(IF(ISNUMBER(X49),Parámetros!$B$2,0)+IF(ISNUMBER(Y49),Parámetros!$B$3,0)+IF(ISNUMBER(Z49),Parámetros!$B$4,0)+IF(ISNUMBER(AA49),Parámetros!$B$5,0)+IF(ISNUMBER(AB49),Parámetros!$B$6,0)+IF(ISNUMBER(AC49),Parámetros!$B$7,0)+IF(ISNUMBER(AD49),Parámetros!$B$8,0)+IF(ISNUMBER(AE49),Parámetros!$B$9,0)+IF(ISNUMBER(AF49),Parámetros!$B$10,0)+IF(ISNUMBER(AG49),Parámetros!$B$11,0)))</f>
        <v/>
      </c>
      <c r="AJ49" s="47" t="n">
        <f aca="false">IF(AND(ISNUMBER(Y49),N(Y49)&lt;60),69.9,IF(OR(AND(ISNUMBER(AE49),N(AE49)&lt;80),AND(ISNUMBER(AC49),N(AC49)&lt;50,N(O49)&gt;=2)),84.9,100))</f>
        <v>100</v>
      </c>
      <c r="AK49" s="47" t="str">
        <f aca="false">IF(AI49="","",MIN(AI49,AJ49))</f>
        <v/>
      </c>
      <c r="AL49" s="47" t="str">
        <f aca="false">IF($C49="","",IF(AK49="","Gris — menos de 3 fuentes",IF(AND(AK49&lt;Parámetros!$B$14,N49&lt;&gt;"",N(N49)&lt;Parámetros!$B$15,N(Y49)&gt;=60),"Gris — repetir observación",IF(AK49&gt;=Parámetros!$B$13,"Verde",IF(AK49&gt;=Parámetros!$B$14,"Amarillo","Rojo")))))</f>
        <v/>
      </c>
      <c r="AM49" s="47" t="str">
        <f aca="false">IF($C49="","",IF(AND(ISNUMBER(Y49),N(Y49)&lt;60),"Ejecución &lt; 60 %: rojo automático",IF(AND(ISNUMBER(AE49),N(AE49)&lt;80),"PIAR &lt; 80 %: máximo amarillo",IF(AND(ISNUMBER(AC49),N(AC49)&lt;50,N(O49)&gt;=2),"Observación &lt; 50: máximo amarillo",IF(AND(N49&lt;&gt;"",N(N49)&lt;Parámetros!$B$15),"κ &lt; 0,60: observación descartada, repetir","")))))</f>
        <v/>
      </c>
    </row>
    <row r="50" customFormat="false" ht="15" hidden="false" customHeight="fals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7" t="str">
        <f aca="false">IF(N(E50)&gt;0,MIN(100,F50/E50*100),"")</f>
        <v/>
      </c>
      <c r="Y50" s="47" t="str">
        <f aca="false">IF(N(G50)&gt;0,MIN(100,H50/G50*100),"")</f>
        <v/>
      </c>
      <c r="Z50" s="47" t="str">
        <f aca="false">IF(N(I50)&gt;0,MIN(100,J50/I50*100),"")</f>
        <v/>
      </c>
      <c r="AA50" s="47" t="str">
        <f aca="false">IF(K50="","",K50/24*100)</f>
        <v/>
      </c>
      <c r="AB50" s="47" t="str">
        <f aca="false">IF(L50="","",L50/3*100)</f>
        <v/>
      </c>
      <c r="AC50" s="47" t="str">
        <f aca="false">IF(OR(M50="",AND(N50&lt;&gt;"",N(N50)&lt;Parámetros!$B$15)),"",MAX(0,MIN(100,(M50-1)/4*100)))</f>
        <v/>
      </c>
      <c r="AD50" s="47" t="str">
        <f aca="false">IF(OR(P50="",N(Q50)=0),"",MAX(0,MIN(100,((Q50/(Q50+Parámetros!$B$16))*P50+(Parámetros!$B$16/(Q50+Parámetros!$B$16))*Parámetros!$B$17-0.1)/0.4*100)))</f>
        <v/>
      </c>
      <c r="AE50" s="47" t="str">
        <f aca="false">IF(N(R50)&gt;0,MIN(100,S50/R50*100),"")</f>
        <v/>
      </c>
      <c r="AF50" s="47" t="str">
        <f aca="false">IF(N(U50)&gt;0,MIN(100,T50/(U50*5)*100),"")</f>
        <v/>
      </c>
      <c r="AG50" s="47" t="str">
        <f aca="false">IF(OR(V50="",N(W50)&lt;10),"",(V50-1)/4*100)</f>
        <v/>
      </c>
      <c r="AH50" s="47" t="str">
        <f aca="false">IF($C50="","",COUNT(X50:AG50))</f>
        <v/>
      </c>
      <c r="AI50" s="47" t="str">
        <f aca="false">IF(OR($C50="",N(AH50)&lt;Parámetros!$B$18),"",(IF(ISNUMBER(X50),X50*Parámetros!$B$2,0)+IF(ISNUMBER(Y50),Y50*Parámetros!$B$3,0)+IF(ISNUMBER(Z50),Z50*Parámetros!$B$4,0)+IF(ISNUMBER(AA50),AA50*Parámetros!$B$5,0)+IF(ISNUMBER(AB50),AB50*Parámetros!$B$6,0)+IF(ISNUMBER(AC50),AC50*Parámetros!$B$7,0)+IF(ISNUMBER(AD50),AD50*Parámetros!$B$8,0)+IF(ISNUMBER(AE50),AE50*Parámetros!$B$9,0)+IF(ISNUMBER(AF50),AF50*Parámetros!$B$10,0)+IF(ISNUMBER(AG50),AG50*Parámetros!$B$11,0))/(IF(ISNUMBER(X50),Parámetros!$B$2,0)+IF(ISNUMBER(Y50),Parámetros!$B$3,0)+IF(ISNUMBER(Z50),Parámetros!$B$4,0)+IF(ISNUMBER(AA50),Parámetros!$B$5,0)+IF(ISNUMBER(AB50),Parámetros!$B$6,0)+IF(ISNUMBER(AC50),Parámetros!$B$7,0)+IF(ISNUMBER(AD50),Parámetros!$B$8,0)+IF(ISNUMBER(AE50),Parámetros!$B$9,0)+IF(ISNUMBER(AF50),Parámetros!$B$10,0)+IF(ISNUMBER(AG50),Parámetros!$B$11,0)))</f>
        <v/>
      </c>
      <c r="AJ50" s="47" t="n">
        <f aca="false">IF(AND(ISNUMBER(Y50),N(Y50)&lt;60),69.9,IF(OR(AND(ISNUMBER(AE50),N(AE50)&lt;80),AND(ISNUMBER(AC50),N(AC50)&lt;50,N(O50)&gt;=2)),84.9,100))</f>
        <v>100</v>
      </c>
      <c r="AK50" s="47" t="str">
        <f aca="false">IF(AI50="","",MIN(AI50,AJ50))</f>
        <v/>
      </c>
      <c r="AL50" s="47" t="str">
        <f aca="false">IF($C50="","",IF(AK50="","Gris — menos de 3 fuentes",IF(AND(AK50&lt;Parámetros!$B$14,N50&lt;&gt;"",N(N50)&lt;Parámetros!$B$15,N(Y50)&gt;=60),"Gris — repetir observación",IF(AK50&gt;=Parámetros!$B$13,"Verde",IF(AK50&gt;=Parámetros!$B$14,"Amarillo","Rojo")))))</f>
        <v/>
      </c>
      <c r="AM50" s="47" t="str">
        <f aca="false">IF($C50="","",IF(AND(ISNUMBER(Y50),N(Y50)&lt;60),"Ejecución &lt; 60 %: rojo automático",IF(AND(ISNUMBER(AE50),N(AE50)&lt;80),"PIAR &lt; 80 %: máximo amarillo",IF(AND(ISNUMBER(AC50),N(AC50)&lt;50,N(O50)&gt;=2),"Observación &lt; 50: máximo amarillo",IF(AND(N50&lt;&gt;"",N(N50)&lt;Parámetros!$B$15),"κ &lt; 0,60: observación descartada, repetir","")))))</f>
        <v/>
      </c>
    </row>
    <row r="51" customFormat="false" ht="15" hidden="false" customHeight="fals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7" t="str">
        <f aca="false">IF(N(E51)&gt;0,MIN(100,F51/E51*100),"")</f>
        <v/>
      </c>
      <c r="Y51" s="47" t="str">
        <f aca="false">IF(N(G51)&gt;0,MIN(100,H51/G51*100),"")</f>
        <v/>
      </c>
      <c r="Z51" s="47" t="str">
        <f aca="false">IF(N(I51)&gt;0,MIN(100,J51/I51*100),"")</f>
        <v/>
      </c>
      <c r="AA51" s="47" t="str">
        <f aca="false">IF(K51="","",K51/24*100)</f>
        <v/>
      </c>
      <c r="AB51" s="47" t="str">
        <f aca="false">IF(L51="","",L51/3*100)</f>
        <v/>
      </c>
      <c r="AC51" s="47" t="str">
        <f aca="false">IF(OR(M51="",AND(N51&lt;&gt;"",N(N51)&lt;Parámetros!$B$15)),"",MAX(0,MIN(100,(M51-1)/4*100)))</f>
        <v/>
      </c>
      <c r="AD51" s="47" t="str">
        <f aca="false">IF(OR(P51="",N(Q51)=0),"",MAX(0,MIN(100,((Q51/(Q51+Parámetros!$B$16))*P51+(Parámetros!$B$16/(Q51+Parámetros!$B$16))*Parámetros!$B$17-0.1)/0.4*100)))</f>
        <v/>
      </c>
      <c r="AE51" s="47" t="str">
        <f aca="false">IF(N(R51)&gt;0,MIN(100,S51/R51*100),"")</f>
        <v/>
      </c>
      <c r="AF51" s="47" t="str">
        <f aca="false">IF(N(U51)&gt;0,MIN(100,T51/(U51*5)*100),"")</f>
        <v/>
      </c>
      <c r="AG51" s="47" t="str">
        <f aca="false">IF(OR(V51="",N(W51)&lt;10),"",(V51-1)/4*100)</f>
        <v/>
      </c>
      <c r="AH51" s="47" t="str">
        <f aca="false">IF($C51="","",COUNT(X51:AG51))</f>
        <v/>
      </c>
      <c r="AI51" s="47" t="str">
        <f aca="false">IF(OR($C51="",N(AH51)&lt;Parámetros!$B$18),"",(IF(ISNUMBER(X51),X51*Parámetros!$B$2,0)+IF(ISNUMBER(Y51),Y51*Parámetros!$B$3,0)+IF(ISNUMBER(Z51),Z51*Parámetros!$B$4,0)+IF(ISNUMBER(AA51),AA51*Parámetros!$B$5,0)+IF(ISNUMBER(AB51),AB51*Parámetros!$B$6,0)+IF(ISNUMBER(AC51),AC51*Parámetros!$B$7,0)+IF(ISNUMBER(AD51),AD51*Parámetros!$B$8,0)+IF(ISNUMBER(AE51),AE51*Parámetros!$B$9,0)+IF(ISNUMBER(AF51),AF51*Parámetros!$B$10,0)+IF(ISNUMBER(AG51),AG51*Parámetros!$B$11,0))/(IF(ISNUMBER(X51),Parámetros!$B$2,0)+IF(ISNUMBER(Y51),Parámetros!$B$3,0)+IF(ISNUMBER(Z51),Parámetros!$B$4,0)+IF(ISNUMBER(AA51),Parámetros!$B$5,0)+IF(ISNUMBER(AB51),Parámetros!$B$6,0)+IF(ISNUMBER(AC51),Parámetros!$B$7,0)+IF(ISNUMBER(AD51),Parámetros!$B$8,0)+IF(ISNUMBER(AE51),Parámetros!$B$9,0)+IF(ISNUMBER(AF51),Parámetros!$B$10,0)+IF(ISNUMBER(AG51),Parámetros!$B$11,0)))</f>
        <v/>
      </c>
      <c r="AJ51" s="47" t="n">
        <f aca="false">IF(AND(ISNUMBER(Y51),N(Y51)&lt;60),69.9,IF(OR(AND(ISNUMBER(AE51),N(AE51)&lt;80),AND(ISNUMBER(AC51),N(AC51)&lt;50,N(O51)&gt;=2)),84.9,100))</f>
        <v>100</v>
      </c>
      <c r="AK51" s="47" t="str">
        <f aca="false">IF(AI51="","",MIN(AI51,AJ51))</f>
        <v/>
      </c>
      <c r="AL51" s="47" t="str">
        <f aca="false">IF($C51="","",IF(AK51="","Gris — menos de 3 fuentes",IF(AND(AK51&lt;Parámetros!$B$14,N51&lt;&gt;"",N(N51)&lt;Parámetros!$B$15,N(Y51)&gt;=60),"Gris — repetir observación",IF(AK51&gt;=Parámetros!$B$13,"Verde",IF(AK51&gt;=Parámetros!$B$14,"Amarillo","Rojo")))))</f>
        <v/>
      </c>
      <c r="AM51" s="47" t="str">
        <f aca="false">IF($C51="","",IF(AND(ISNUMBER(Y51),N(Y51)&lt;60),"Ejecución &lt; 60 %: rojo automático",IF(AND(ISNUMBER(AE51),N(AE51)&lt;80),"PIAR &lt; 80 %: máximo amarillo",IF(AND(ISNUMBER(AC51),N(AC51)&lt;50,N(O51)&gt;=2),"Observación &lt; 50: máximo amarillo",IF(AND(N51&lt;&gt;"",N(N51)&lt;Parámetros!$B$15),"κ &lt; 0,60: observación descartada, repetir","")))))</f>
        <v/>
      </c>
    </row>
    <row r="52" customFormat="false" ht="15" hidden="false" customHeight="fals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7" t="str">
        <f aca="false">IF(N(E52)&gt;0,MIN(100,F52/E52*100),"")</f>
        <v/>
      </c>
      <c r="Y52" s="47" t="str">
        <f aca="false">IF(N(G52)&gt;0,MIN(100,H52/G52*100),"")</f>
        <v/>
      </c>
      <c r="Z52" s="47" t="str">
        <f aca="false">IF(N(I52)&gt;0,MIN(100,J52/I52*100),"")</f>
        <v/>
      </c>
      <c r="AA52" s="47" t="str">
        <f aca="false">IF(K52="","",K52/24*100)</f>
        <v/>
      </c>
      <c r="AB52" s="47" t="str">
        <f aca="false">IF(L52="","",L52/3*100)</f>
        <v/>
      </c>
      <c r="AC52" s="47" t="str">
        <f aca="false">IF(OR(M52="",AND(N52&lt;&gt;"",N(N52)&lt;Parámetros!$B$15)),"",MAX(0,MIN(100,(M52-1)/4*100)))</f>
        <v/>
      </c>
      <c r="AD52" s="47" t="str">
        <f aca="false">IF(OR(P52="",N(Q52)=0),"",MAX(0,MIN(100,((Q52/(Q52+Parámetros!$B$16))*P52+(Parámetros!$B$16/(Q52+Parámetros!$B$16))*Parámetros!$B$17-0.1)/0.4*100)))</f>
        <v/>
      </c>
      <c r="AE52" s="47" t="str">
        <f aca="false">IF(N(R52)&gt;0,MIN(100,S52/R52*100),"")</f>
        <v/>
      </c>
      <c r="AF52" s="47" t="str">
        <f aca="false">IF(N(U52)&gt;0,MIN(100,T52/(U52*5)*100),"")</f>
        <v/>
      </c>
      <c r="AG52" s="47" t="str">
        <f aca="false">IF(OR(V52="",N(W52)&lt;10),"",(V52-1)/4*100)</f>
        <v/>
      </c>
      <c r="AH52" s="47" t="str">
        <f aca="false">IF($C52="","",COUNT(X52:AG52))</f>
        <v/>
      </c>
      <c r="AI52" s="47" t="str">
        <f aca="false">IF(OR($C52="",N(AH52)&lt;Parámetros!$B$18),"",(IF(ISNUMBER(X52),X52*Parámetros!$B$2,0)+IF(ISNUMBER(Y52),Y52*Parámetros!$B$3,0)+IF(ISNUMBER(Z52),Z52*Parámetros!$B$4,0)+IF(ISNUMBER(AA52),AA52*Parámetros!$B$5,0)+IF(ISNUMBER(AB52),AB52*Parámetros!$B$6,0)+IF(ISNUMBER(AC52),AC52*Parámetros!$B$7,0)+IF(ISNUMBER(AD52),AD52*Parámetros!$B$8,0)+IF(ISNUMBER(AE52),AE52*Parámetros!$B$9,0)+IF(ISNUMBER(AF52),AF52*Parámetros!$B$10,0)+IF(ISNUMBER(AG52),AG52*Parámetros!$B$11,0))/(IF(ISNUMBER(X52),Parámetros!$B$2,0)+IF(ISNUMBER(Y52),Parámetros!$B$3,0)+IF(ISNUMBER(Z52),Parámetros!$B$4,0)+IF(ISNUMBER(AA52),Parámetros!$B$5,0)+IF(ISNUMBER(AB52),Parámetros!$B$6,0)+IF(ISNUMBER(AC52),Parámetros!$B$7,0)+IF(ISNUMBER(AD52),Parámetros!$B$8,0)+IF(ISNUMBER(AE52),Parámetros!$B$9,0)+IF(ISNUMBER(AF52),Parámetros!$B$10,0)+IF(ISNUMBER(AG52),Parámetros!$B$11,0)))</f>
        <v/>
      </c>
      <c r="AJ52" s="47" t="n">
        <f aca="false">IF(AND(ISNUMBER(Y52),N(Y52)&lt;60),69.9,IF(OR(AND(ISNUMBER(AE52),N(AE52)&lt;80),AND(ISNUMBER(AC52),N(AC52)&lt;50,N(O52)&gt;=2)),84.9,100))</f>
        <v>100</v>
      </c>
      <c r="AK52" s="47" t="str">
        <f aca="false">IF(AI52="","",MIN(AI52,AJ52))</f>
        <v/>
      </c>
      <c r="AL52" s="47" t="str">
        <f aca="false">IF($C52="","",IF(AK52="","Gris — menos de 3 fuentes",IF(AND(AK52&lt;Parámetros!$B$14,N52&lt;&gt;"",N(N52)&lt;Parámetros!$B$15,N(Y52)&gt;=60),"Gris — repetir observación",IF(AK52&gt;=Parámetros!$B$13,"Verde",IF(AK52&gt;=Parámetros!$B$14,"Amarillo","Rojo")))))</f>
        <v/>
      </c>
      <c r="AM52" s="47" t="str">
        <f aca="false">IF($C52="","",IF(AND(ISNUMBER(Y52),N(Y52)&lt;60),"Ejecución &lt; 60 %: rojo automático",IF(AND(ISNUMBER(AE52),N(AE52)&lt;80),"PIAR &lt; 80 %: máximo amarillo",IF(AND(ISNUMBER(AC52),N(AC52)&lt;50,N(O52)&gt;=2),"Observación &lt; 50: máximo amarillo",IF(AND(N52&lt;&gt;"",N(N52)&lt;Parámetros!$B$15),"κ &lt; 0,60: observación descartada, repetir","")))))</f>
        <v/>
      </c>
    </row>
    <row r="53" customFormat="false" ht="15" hidden="false" customHeight="fals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7" t="str">
        <f aca="false">IF(N(E53)&gt;0,MIN(100,F53/E53*100),"")</f>
        <v/>
      </c>
      <c r="Y53" s="47" t="str">
        <f aca="false">IF(N(G53)&gt;0,MIN(100,H53/G53*100),"")</f>
        <v/>
      </c>
      <c r="Z53" s="47" t="str">
        <f aca="false">IF(N(I53)&gt;0,MIN(100,J53/I53*100),"")</f>
        <v/>
      </c>
      <c r="AA53" s="47" t="str">
        <f aca="false">IF(K53="","",K53/24*100)</f>
        <v/>
      </c>
      <c r="AB53" s="47" t="str">
        <f aca="false">IF(L53="","",L53/3*100)</f>
        <v/>
      </c>
      <c r="AC53" s="47" t="str">
        <f aca="false">IF(OR(M53="",AND(N53&lt;&gt;"",N(N53)&lt;Parámetros!$B$15)),"",MAX(0,MIN(100,(M53-1)/4*100)))</f>
        <v/>
      </c>
      <c r="AD53" s="47" t="str">
        <f aca="false">IF(OR(P53="",N(Q53)=0),"",MAX(0,MIN(100,((Q53/(Q53+Parámetros!$B$16))*P53+(Parámetros!$B$16/(Q53+Parámetros!$B$16))*Parámetros!$B$17-0.1)/0.4*100)))</f>
        <v/>
      </c>
      <c r="AE53" s="47" t="str">
        <f aca="false">IF(N(R53)&gt;0,MIN(100,S53/R53*100),"")</f>
        <v/>
      </c>
      <c r="AF53" s="47" t="str">
        <f aca="false">IF(N(U53)&gt;0,MIN(100,T53/(U53*5)*100),"")</f>
        <v/>
      </c>
      <c r="AG53" s="47" t="str">
        <f aca="false">IF(OR(V53="",N(W53)&lt;10),"",(V53-1)/4*100)</f>
        <v/>
      </c>
      <c r="AH53" s="47" t="str">
        <f aca="false">IF($C53="","",COUNT(X53:AG53))</f>
        <v/>
      </c>
      <c r="AI53" s="47" t="str">
        <f aca="false">IF(OR($C53="",N(AH53)&lt;Parámetros!$B$18),"",(IF(ISNUMBER(X53),X53*Parámetros!$B$2,0)+IF(ISNUMBER(Y53),Y53*Parámetros!$B$3,0)+IF(ISNUMBER(Z53),Z53*Parámetros!$B$4,0)+IF(ISNUMBER(AA53),AA53*Parámetros!$B$5,0)+IF(ISNUMBER(AB53),AB53*Parámetros!$B$6,0)+IF(ISNUMBER(AC53),AC53*Parámetros!$B$7,0)+IF(ISNUMBER(AD53),AD53*Parámetros!$B$8,0)+IF(ISNUMBER(AE53),AE53*Parámetros!$B$9,0)+IF(ISNUMBER(AF53),AF53*Parámetros!$B$10,0)+IF(ISNUMBER(AG53),AG53*Parámetros!$B$11,0))/(IF(ISNUMBER(X53),Parámetros!$B$2,0)+IF(ISNUMBER(Y53),Parámetros!$B$3,0)+IF(ISNUMBER(Z53),Parámetros!$B$4,0)+IF(ISNUMBER(AA53),Parámetros!$B$5,0)+IF(ISNUMBER(AB53),Parámetros!$B$6,0)+IF(ISNUMBER(AC53),Parámetros!$B$7,0)+IF(ISNUMBER(AD53),Parámetros!$B$8,0)+IF(ISNUMBER(AE53),Parámetros!$B$9,0)+IF(ISNUMBER(AF53),Parámetros!$B$10,0)+IF(ISNUMBER(AG53),Parámetros!$B$11,0)))</f>
        <v/>
      </c>
      <c r="AJ53" s="47" t="n">
        <f aca="false">IF(AND(ISNUMBER(Y53),N(Y53)&lt;60),69.9,IF(OR(AND(ISNUMBER(AE53),N(AE53)&lt;80),AND(ISNUMBER(AC53),N(AC53)&lt;50,N(O53)&gt;=2)),84.9,100))</f>
        <v>100</v>
      </c>
      <c r="AK53" s="47" t="str">
        <f aca="false">IF(AI53="","",MIN(AI53,AJ53))</f>
        <v/>
      </c>
      <c r="AL53" s="47" t="str">
        <f aca="false">IF($C53="","",IF(AK53="","Gris — menos de 3 fuentes",IF(AND(AK53&lt;Parámetros!$B$14,N53&lt;&gt;"",N(N53)&lt;Parámetros!$B$15,N(Y53)&gt;=60),"Gris — repetir observación",IF(AK53&gt;=Parámetros!$B$13,"Verde",IF(AK53&gt;=Parámetros!$B$14,"Amarillo","Rojo")))))</f>
        <v/>
      </c>
      <c r="AM53" s="47" t="str">
        <f aca="false">IF($C53="","",IF(AND(ISNUMBER(Y53),N(Y53)&lt;60),"Ejecución &lt; 60 %: rojo automático",IF(AND(ISNUMBER(AE53),N(AE53)&lt;80),"PIAR &lt; 80 %: máximo amarillo",IF(AND(ISNUMBER(AC53),N(AC53)&lt;50,N(O53)&gt;=2),"Observación &lt; 50: máximo amarillo",IF(AND(N53&lt;&gt;"",N(N53)&lt;Parámetros!$B$15),"κ &lt; 0,60: observación descartada, repetir","")))))</f>
        <v/>
      </c>
    </row>
    <row r="54" customFormat="false" ht="15" hidden="false" customHeight="fals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7" t="str">
        <f aca="false">IF(N(E54)&gt;0,MIN(100,F54/E54*100),"")</f>
        <v/>
      </c>
      <c r="Y54" s="47" t="str">
        <f aca="false">IF(N(G54)&gt;0,MIN(100,H54/G54*100),"")</f>
        <v/>
      </c>
      <c r="Z54" s="47" t="str">
        <f aca="false">IF(N(I54)&gt;0,MIN(100,J54/I54*100),"")</f>
        <v/>
      </c>
      <c r="AA54" s="47" t="str">
        <f aca="false">IF(K54="","",K54/24*100)</f>
        <v/>
      </c>
      <c r="AB54" s="47" t="str">
        <f aca="false">IF(L54="","",L54/3*100)</f>
        <v/>
      </c>
      <c r="AC54" s="47" t="str">
        <f aca="false">IF(OR(M54="",AND(N54&lt;&gt;"",N(N54)&lt;Parámetros!$B$15)),"",MAX(0,MIN(100,(M54-1)/4*100)))</f>
        <v/>
      </c>
      <c r="AD54" s="47" t="str">
        <f aca="false">IF(OR(P54="",N(Q54)=0),"",MAX(0,MIN(100,((Q54/(Q54+Parámetros!$B$16))*P54+(Parámetros!$B$16/(Q54+Parámetros!$B$16))*Parámetros!$B$17-0.1)/0.4*100)))</f>
        <v/>
      </c>
      <c r="AE54" s="47" t="str">
        <f aca="false">IF(N(R54)&gt;0,MIN(100,S54/R54*100),"")</f>
        <v/>
      </c>
      <c r="AF54" s="47" t="str">
        <f aca="false">IF(N(U54)&gt;0,MIN(100,T54/(U54*5)*100),"")</f>
        <v/>
      </c>
      <c r="AG54" s="47" t="str">
        <f aca="false">IF(OR(V54="",N(W54)&lt;10),"",(V54-1)/4*100)</f>
        <v/>
      </c>
      <c r="AH54" s="47" t="str">
        <f aca="false">IF($C54="","",COUNT(X54:AG54))</f>
        <v/>
      </c>
      <c r="AI54" s="47" t="str">
        <f aca="false">IF(OR($C54="",N(AH54)&lt;Parámetros!$B$18),"",(IF(ISNUMBER(X54),X54*Parámetros!$B$2,0)+IF(ISNUMBER(Y54),Y54*Parámetros!$B$3,0)+IF(ISNUMBER(Z54),Z54*Parámetros!$B$4,0)+IF(ISNUMBER(AA54),AA54*Parámetros!$B$5,0)+IF(ISNUMBER(AB54),AB54*Parámetros!$B$6,0)+IF(ISNUMBER(AC54),AC54*Parámetros!$B$7,0)+IF(ISNUMBER(AD54),AD54*Parámetros!$B$8,0)+IF(ISNUMBER(AE54),AE54*Parámetros!$B$9,0)+IF(ISNUMBER(AF54),AF54*Parámetros!$B$10,0)+IF(ISNUMBER(AG54),AG54*Parámetros!$B$11,0))/(IF(ISNUMBER(X54),Parámetros!$B$2,0)+IF(ISNUMBER(Y54),Parámetros!$B$3,0)+IF(ISNUMBER(Z54),Parámetros!$B$4,0)+IF(ISNUMBER(AA54),Parámetros!$B$5,0)+IF(ISNUMBER(AB54),Parámetros!$B$6,0)+IF(ISNUMBER(AC54),Parámetros!$B$7,0)+IF(ISNUMBER(AD54),Parámetros!$B$8,0)+IF(ISNUMBER(AE54),Parámetros!$B$9,0)+IF(ISNUMBER(AF54),Parámetros!$B$10,0)+IF(ISNUMBER(AG54),Parámetros!$B$11,0)))</f>
        <v/>
      </c>
      <c r="AJ54" s="47" t="n">
        <f aca="false">IF(AND(ISNUMBER(Y54),N(Y54)&lt;60),69.9,IF(OR(AND(ISNUMBER(AE54),N(AE54)&lt;80),AND(ISNUMBER(AC54),N(AC54)&lt;50,N(O54)&gt;=2)),84.9,100))</f>
        <v>100</v>
      </c>
      <c r="AK54" s="47" t="str">
        <f aca="false">IF(AI54="","",MIN(AI54,AJ54))</f>
        <v/>
      </c>
      <c r="AL54" s="47" t="str">
        <f aca="false">IF($C54="","",IF(AK54="","Gris — menos de 3 fuentes",IF(AND(AK54&lt;Parámetros!$B$14,N54&lt;&gt;"",N(N54)&lt;Parámetros!$B$15,N(Y54)&gt;=60),"Gris — repetir observación",IF(AK54&gt;=Parámetros!$B$13,"Verde",IF(AK54&gt;=Parámetros!$B$14,"Amarillo","Rojo")))))</f>
        <v/>
      </c>
      <c r="AM54" s="47" t="str">
        <f aca="false">IF($C54="","",IF(AND(ISNUMBER(Y54),N(Y54)&lt;60),"Ejecución &lt; 60 %: rojo automático",IF(AND(ISNUMBER(AE54),N(AE54)&lt;80),"PIAR &lt; 80 %: máximo amarillo",IF(AND(ISNUMBER(AC54),N(AC54)&lt;50,N(O54)&gt;=2),"Observación &lt; 50: máximo amarillo",IF(AND(N54&lt;&gt;"",N(N54)&lt;Parámetros!$B$15),"κ &lt; 0,60: observación descartada, repetir","")))))</f>
        <v/>
      </c>
    </row>
    <row r="55" customFormat="false" ht="15" hidden="false" customHeight="fals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7" t="str">
        <f aca="false">IF(N(E55)&gt;0,MIN(100,F55/E55*100),"")</f>
        <v/>
      </c>
      <c r="Y55" s="47" t="str">
        <f aca="false">IF(N(G55)&gt;0,MIN(100,H55/G55*100),"")</f>
        <v/>
      </c>
      <c r="Z55" s="47" t="str">
        <f aca="false">IF(N(I55)&gt;0,MIN(100,J55/I55*100),"")</f>
        <v/>
      </c>
      <c r="AA55" s="47" t="str">
        <f aca="false">IF(K55="","",K55/24*100)</f>
        <v/>
      </c>
      <c r="AB55" s="47" t="str">
        <f aca="false">IF(L55="","",L55/3*100)</f>
        <v/>
      </c>
      <c r="AC55" s="47" t="str">
        <f aca="false">IF(OR(M55="",AND(N55&lt;&gt;"",N(N55)&lt;Parámetros!$B$15)),"",MAX(0,MIN(100,(M55-1)/4*100)))</f>
        <v/>
      </c>
      <c r="AD55" s="47" t="str">
        <f aca="false">IF(OR(P55="",N(Q55)=0),"",MAX(0,MIN(100,((Q55/(Q55+Parámetros!$B$16))*P55+(Parámetros!$B$16/(Q55+Parámetros!$B$16))*Parámetros!$B$17-0.1)/0.4*100)))</f>
        <v/>
      </c>
      <c r="AE55" s="47" t="str">
        <f aca="false">IF(N(R55)&gt;0,MIN(100,S55/R55*100),"")</f>
        <v/>
      </c>
      <c r="AF55" s="47" t="str">
        <f aca="false">IF(N(U55)&gt;0,MIN(100,T55/(U55*5)*100),"")</f>
        <v/>
      </c>
      <c r="AG55" s="47" t="str">
        <f aca="false">IF(OR(V55="",N(W55)&lt;10),"",(V55-1)/4*100)</f>
        <v/>
      </c>
      <c r="AH55" s="47" t="str">
        <f aca="false">IF($C55="","",COUNT(X55:AG55))</f>
        <v/>
      </c>
      <c r="AI55" s="47" t="str">
        <f aca="false">IF(OR($C55="",N(AH55)&lt;Parámetros!$B$18),"",(IF(ISNUMBER(X55),X55*Parámetros!$B$2,0)+IF(ISNUMBER(Y55),Y55*Parámetros!$B$3,0)+IF(ISNUMBER(Z55),Z55*Parámetros!$B$4,0)+IF(ISNUMBER(AA55),AA55*Parámetros!$B$5,0)+IF(ISNUMBER(AB55),AB55*Parámetros!$B$6,0)+IF(ISNUMBER(AC55),AC55*Parámetros!$B$7,0)+IF(ISNUMBER(AD55),AD55*Parámetros!$B$8,0)+IF(ISNUMBER(AE55),AE55*Parámetros!$B$9,0)+IF(ISNUMBER(AF55),AF55*Parámetros!$B$10,0)+IF(ISNUMBER(AG55),AG55*Parámetros!$B$11,0))/(IF(ISNUMBER(X55),Parámetros!$B$2,0)+IF(ISNUMBER(Y55),Parámetros!$B$3,0)+IF(ISNUMBER(Z55),Parámetros!$B$4,0)+IF(ISNUMBER(AA55),Parámetros!$B$5,0)+IF(ISNUMBER(AB55),Parámetros!$B$6,0)+IF(ISNUMBER(AC55),Parámetros!$B$7,0)+IF(ISNUMBER(AD55),Parámetros!$B$8,0)+IF(ISNUMBER(AE55),Parámetros!$B$9,0)+IF(ISNUMBER(AF55),Parámetros!$B$10,0)+IF(ISNUMBER(AG55),Parámetros!$B$11,0)))</f>
        <v/>
      </c>
      <c r="AJ55" s="47" t="n">
        <f aca="false">IF(AND(ISNUMBER(Y55),N(Y55)&lt;60),69.9,IF(OR(AND(ISNUMBER(AE55),N(AE55)&lt;80),AND(ISNUMBER(AC55),N(AC55)&lt;50,N(O55)&gt;=2)),84.9,100))</f>
        <v>100</v>
      </c>
      <c r="AK55" s="47" t="str">
        <f aca="false">IF(AI55="","",MIN(AI55,AJ55))</f>
        <v/>
      </c>
      <c r="AL55" s="47" t="str">
        <f aca="false">IF($C55="","",IF(AK55="","Gris — menos de 3 fuentes",IF(AND(AK55&lt;Parámetros!$B$14,N55&lt;&gt;"",N(N55)&lt;Parámetros!$B$15,N(Y55)&gt;=60),"Gris — repetir observación",IF(AK55&gt;=Parámetros!$B$13,"Verde",IF(AK55&gt;=Parámetros!$B$14,"Amarillo","Rojo")))))</f>
        <v/>
      </c>
      <c r="AM55" s="47" t="str">
        <f aca="false">IF($C55="","",IF(AND(ISNUMBER(Y55),N(Y55)&lt;60),"Ejecución &lt; 60 %: rojo automático",IF(AND(ISNUMBER(AE55),N(AE55)&lt;80),"PIAR &lt; 80 %: máximo amarillo",IF(AND(ISNUMBER(AC55),N(AC55)&lt;50,N(O55)&gt;=2),"Observación &lt; 50: máximo amarillo",IF(AND(N55&lt;&gt;"",N(N55)&lt;Parámetros!$B$15),"κ &lt; 0,60: observación descartada, repetir","")))))</f>
        <v/>
      </c>
    </row>
    <row r="56" customFormat="false" ht="15" hidden="false" customHeight="fals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7" t="str">
        <f aca="false">IF(N(E56)&gt;0,MIN(100,F56/E56*100),"")</f>
        <v/>
      </c>
      <c r="Y56" s="47" t="str">
        <f aca="false">IF(N(G56)&gt;0,MIN(100,H56/G56*100),"")</f>
        <v/>
      </c>
      <c r="Z56" s="47" t="str">
        <f aca="false">IF(N(I56)&gt;0,MIN(100,J56/I56*100),"")</f>
        <v/>
      </c>
      <c r="AA56" s="47" t="str">
        <f aca="false">IF(K56="","",K56/24*100)</f>
        <v/>
      </c>
      <c r="AB56" s="47" t="str">
        <f aca="false">IF(L56="","",L56/3*100)</f>
        <v/>
      </c>
      <c r="AC56" s="47" t="str">
        <f aca="false">IF(OR(M56="",AND(N56&lt;&gt;"",N(N56)&lt;Parámetros!$B$15)),"",MAX(0,MIN(100,(M56-1)/4*100)))</f>
        <v/>
      </c>
      <c r="AD56" s="47" t="str">
        <f aca="false">IF(OR(P56="",N(Q56)=0),"",MAX(0,MIN(100,((Q56/(Q56+Parámetros!$B$16))*P56+(Parámetros!$B$16/(Q56+Parámetros!$B$16))*Parámetros!$B$17-0.1)/0.4*100)))</f>
        <v/>
      </c>
      <c r="AE56" s="47" t="str">
        <f aca="false">IF(N(R56)&gt;0,MIN(100,S56/R56*100),"")</f>
        <v/>
      </c>
      <c r="AF56" s="47" t="str">
        <f aca="false">IF(N(U56)&gt;0,MIN(100,T56/(U56*5)*100),"")</f>
        <v/>
      </c>
      <c r="AG56" s="47" t="str">
        <f aca="false">IF(OR(V56="",N(W56)&lt;10),"",(V56-1)/4*100)</f>
        <v/>
      </c>
      <c r="AH56" s="47" t="str">
        <f aca="false">IF($C56="","",COUNT(X56:AG56))</f>
        <v/>
      </c>
      <c r="AI56" s="47" t="str">
        <f aca="false">IF(OR($C56="",N(AH56)&lt;Parámetros!$B$18),"",(IF(ISNUMBER(X56),X56*Parámetros!$B$2,0)+IF(ISNUMBER(Y56),Y56*Parámetros!$B$3,0)+IF(ISNUMBER(Z56),Z56*Parámetros!$B$4,0)+IF(ISNUMBER(AA56),AA56*Parámetros!$B$5,0)+IF(ISNUMBER(AB56),AB56*Parámetros!$B$6,0)+IF(ISNUMBER(AC56),AC56*Parámetros!$B$7,0)+IF(ISNUMBER(AD56),AD56*Parámetros!$B$8,0)+IF(ISNUMBER(AE56),AE56*Parámetros!$B$9,0)+IF(ISNUMBER(AF56),AF56*Parámetros!$B$10,0)+IF(ISNUMBER(AG56),AG56*Parámetros!$B$11,0))/(IF(ISNUMBER(X56),Parámetros!$B$2,0)+IF(ISNUMBER(Y56),Parámetros!$B$3,0)+IF(ISNUMBER(Z56),Parámetros!$B$4,0)+IF(ISNUMBER(AA56),Parámetros!$B$5,0)+IF(ISNUMBER(AB56),Parámetros!$B$6,0)+IF(ISNUMBER(AC56),Parámetros!$B$7,0)+IF(ISNUMBER(AD56),Parámetros!$B$8,0)+IF(ISNUMBER(AE56),Parámetros!$B$9,0)+IF(ISNUMBER(AF56),Parámetros!$B$10,0)+IF(ISNUMBER(AG56),Parámetros!$B$11,0)))</f>
        <v/>
      </c>
      <c r="AJ56" s="47" t="n">
        <f aca="false">IF(AND(ISNUMBER(Y56),N(Y56)&lt;60),69.9,IF(OR(AND(ISNUMBER(AE56),N(AE56)&lt;80),AND(ISNUMBER(AC56),N(AC56)&lt;50,N(O56)&gt;=2)),84.9,100))</f>
        <v>100</v>
      </c>
      <c r="AK56" s="47" t="str">
        <f aca="false">IF(AI56="","",MIN(AI56,AJ56))</f>
        <v/>
      </c>
      <c r="AL56" s="47" t="str">
        <f aca="false">IF($C56="","",IF(AK56="","Gris — menos de 3 fuentes",IF(AND(AK56&lt;Parámetros!$B$14,N56&lt;&gt;"",N(N56)&lt;Parámetros!$B$15,N(Y56)&gt;=60),"Gris — repetir observación",IF(AK56&gt;=Parámetros!$B$13,"Verde",IF(AK56&gt;=Parámetros!$B$14,"Amarillo","Rojo")))))</f>
        <v/>
      </c>
      <c r="AM56" s="47" t="str">
        <f aca="false">IF($C56="","",IF(AND(ISNUMBER(Y56),N(Y56)&lt;60),"Ejecución &lt; 60 %: rojo automático",IF(AND(ISNUMBER(AE56),N(AE56)&lt;80),"PIAR &lt; 80 %: máximo amarillo",IF(AND(ISNUMBER(AC56),N(AC56)&lt;50,N(O56)&gt;=2),"Observación &lt; 50: máximo amarillo",IF(AND(N56&lt;&gt;"",N(N56)&lt;Parámetros!$B$15),"κ &lt; 0,60: observación descartada, repetir","")))))</f>
        <v/>
      </c>
    </row>
    <row r="57" customFormat="false" ht="15" hidden="false" customHeight="fals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7" t="str">
        <f aca="false">IF(N(E57)&gt;0,MIN(100,F57/E57*100),"")</f>
        <v/>
      </c>
      <c r="Y57" s="47" t="str">
        <f aca="false">IF(N(G57)&gt;0,MIN(100,H57/G57*100),"")</f>
        <v/>
      </c>
      <c r="Z57" s="47" t="str">
        <f aca="false">IF(N(I57)&gt;0,MIN(100,J57/I57*100),"")</f>
        <v/>
      </c>
      <c r="AA57" s="47" t="str">
        <f aca="false">IF(K57="","",K57/24*100)</f>
        <v/>
      </c>
      <c r="AB57" s="47" t="str">
        <f aca="false">IF(L57="","",L57/3*100)</f>
        <v/>
      </c>
      <c r="AC57" s="47" t="str">
        <f aca="false">IF(OR(M57="",AND(N57&lt;&gt;"",N(N57)&lt;Parámetros!$B$15)),"",MAX(0,MIN(100,(M57-1)/4*100)))</f>
        <v/>
      </c>
      <c r="AD57" s="47" t="str">
        <f aca="false">IF(OR(P57="",N(Q57)=0),"",MAX(0,MIN(100,((Q57/(Q57+Parámetros!$B$16))*P57+(Parámetros!$B$16/(Q57+Parámetros!$B$16))*Parámetros!$B$17-0.1)/0.4*100)))</f>
        <v/>
      </c>
      <c r="AE57" s="47" t="str">
        <f aca="false">IF(N(R57)&gt;0,MIN(100,S57/R57*100),"")</f>
        <v/>
      </c>
      <c r="AF57" s="47" t="str">
        <f aca="false">IF(N(U57)&gt;0,MIN(100,T57/(U57*5)*100),"")</f>
        <v/>
      </c>
      <c r="AG57" s="47" t="str">
        <f aca="false">IF(OR(V57="",N(W57)&lt;10),"",(V57-1)/4*100)</f>
        <v/>
      </c>
      <c r="AH57" s="47" t="str">
        <f aca="false">IF($C57="","",COUNT(X57:AG57))</f>
        <v/>
      </c>
      <c r="AI57" s="47" t="str">
        <f aca="false">IF(OR($C57="",N(AH57)&lt;Parámetros!$B$18),"",(IF(ISNUMBER(X57),X57*Parámetros!$B$2,0)+IF(ISNUMBER(Y57),Y57*Parámetros!$B$3,0)+IF(ISNUMBER(Z57),Z57*Parámetros!$B$4,0)+IF(ISNUMBER(AA57),AA57*Parámetros!$B$5,0)+IF(ISNUMBER(AB57),AB57*Parámetros!$B$6,0)+IF(ISNUMBER(AC57),AC57*Parámetros!$B$7,0)+IF(ISNUMBER(AD57),AD57*Parámetros!$B$8,0)+IF(ISNUMBER(AE57),AE57*Parámetros!$B$9,0)+IF(ISNUMBER(AF57),AF57*Parámetros!$B$10,0)+IF(ISNUMBER(AG57),AG57*Parámetros!$B$11,0))/(IF(ISNUMBER(X57),Parámetros!$B$2,0)+IF(ISNUMBER(Y57),Parámetros!$B$3,0)+IF(ISNUMBER(Z57),Parámetros!$B$4,0)+IF(ISNUMBER(AA57),Parámetros!$B$5,0)+IF(ISNUMBER(AB57),Parámetros!$B$6,0)+IF(ISNUMBER(AC57),Parámetros!$B$7,0)+IF(ISNUMBER(AD57),Parámetros!$B$8,0)+IF(ISNUMBER(AE57),Parámetros!$B$9,0)+IF(ISNUMBER(AF57),Parámetros!$B$10,0)+IF(ISNUMBER(AG57),Parámetros!$B$11,0)))</f>
        <v/>
      </c>
      <c r="AJ57" s="47" t="n">
        <f aca="false">IF(AND(ISNUMBER(Y57),N(Y57)&lt;60),69.9,IF(OR(AND(ISNUMBER(AE57),N(AE57)&lt;80),AND(ISNUMBER(AC57),N(AC57)&lt;50,N(O57)&gt;=2)),84.9,100))</f>
        <v>100</v>
      </c>
      <c r="AK57" s="47" t="str">
        <f aca="false">IF(AI57="","",MIN(AI57,AJ57))</f>
        <v/>
      </c>
      <c r="AL57" s="47" t="str">
        <f aca="false">IF($C57="","",IF(AK57="","Gris — menos de 3 fuentes",IF(AND(AK57&lt;Parámetros!$B$14,N57&lt;&gt;"",N(N57)&lt;Parámetros!$B$15,N(Y57)&gt;=60),"Gris — repetir observación",IF(AK57&gt;=Parámetros!$B$13,"Verde",IF(AK57&gt;=Parámetros!$B$14,"Amarillo","Rojo")))))</f>
        <v/>
      </c>
      <c r="AM57" s="47" t="str">
        <f aca="false">IF($C57="","",IF(AND(ISNUMBER(Y57),N(Y57)&lt;60),"Ejecución &lt; 60 %: rojo automático",IF(AND(ISNUMBER(AE57),N(AE57)&lt;80),"PIAR &lt; 80 %: máximo amarillo",IF(AND(ISNUMBER(AC57),N(AC57)&lt;50,N(O57)&gt;=2),"Observación &lt; 50: máximo amarillo",IF(AND(N57&lt;&gt;"",N(N57)&lt;Parámetros!$B$15),"κ &lt; 0,60: observación descartada, repetir","")))))</f>
        <v/>
      </c>
    </row>
    <row r="58" customFormat="false" ht="15" hidden="false" customHeight="fals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7" t="str">
        <f aca="false">IF(N(E58)&gt;0,MIN(100,F58/E58*100),"")</f>
        <v/>
      </c>
      <c r="Y58" s="47" t="str">
        <f aca="false">IF(N(G58)&gt;0,MIN(100,H58/G58*100),"")</f>
        <v/>
      </c>
      <c r="Z58" s="47" t="str">
        <f aca="false">IF(N(I58)&gt;0,MIN(100,J58/I58*100),"")</f>
        <v/>
      </c>
      <c r="AA58" s="47" t="str">
        <f aca="false">IF(K58="","",K58/24*100)</f>
        <v/>
      </c>
      <c r="AB58" s="47" t="str">
        <f aca="false">IF(L58="","",L58/3*100)</f>
        <v/>
      </c>
      <c r="AC58" s="47" t="str">
        <f aca="false">IF(OR(M58="",AND(N58&lt;&gt;"",N(N58)&lt;Parámetros!$B$15)),"",MAX(0,MIN(100,(M58-1)/4*100)))</f>
        <v/>
      </c>
      <c r="AD58" s="47" t="str">
        <f aca="false">IF(OR(P58="",N(Q58)=0),"",MAX(0,MIN(100,((Q58/(Q58+Parámetros!$B$16))*P58+(Parámetros!$B$16/(Q58+Parámetros!$B$16))*Parámetros!$B$17-0.1)/0.4*100)))</f>
        <v/>
      </c>
      <c r="AE58" s="47" t="str">
        <f aca="false">IF(N(R58)&gt;0,MIN(100,S58/R58*100),"")</f>
        <v/>
      </c>
      <c r="AF58" s="47" t="str">
        <f aca="false">IF(N(U58)&gt;0,MIN(100,T58/(U58*5)*100),"")</f>
        <v/>
      </c>
      <c r="AG58" s="47" t="str">
        <f aca="false">IF(OR(V58="",N(W58)&lt;10),"",(V58-1)/4*100)</f>
        <v/>
      </c>
      <c r="AH58" s="47" t="str">
        <f aca="false">IF($C58="","",COUNT(X58:AG58))</f>
        <v/>
      </c>
      <c r="AI58" s="47" t="str">
        <f aca="false">IF(OR($C58="",N(AH58)&lt;Parámetros!$B$18),"",(IF(ISNUMBER(X58),X58*Parámetros!$B$2,0)+IF(ISNUMBER(Y58),Y58*Parámetros!$B$3,0)+IF(ISNUMBER(Z58),Z58*Parámetros!$B$4,0)+IF(ISNUMBER(AA58),AA58*Parámetros!$B$5,0)+IF(ISNUMBER(AB58),AB58*Parámetros!$B$6,0)+IF(ISNUMBER(AC58),AC58*Parámetros!$B$7,0)+IF(ISNUMBER(AD58),AD58*Parámetros!$B$8,0)+IF(ISNUMBER(AE58),AE58*Parámetros!$B$9,0)+IF(ISNUMBER(AF58),AF58*Parámetros!$B$10,0)+IF(ISNUMBER(AG58),AG58*Parámetros!$B$11,0))/(IF(ISNUMBER(X58),Parámetros!$B$2,0)+IF(ISNUMBER(Y58),Parámetros!$B$3,0)+IF(ISNUMBER(Z58),Parámetros!$B$4,0)+IF(ISNUMBER(AA58),Parámetros!$B$5,0)+IF(ISNUMBER(AB58),Parámetros!$B$6,0)+IF(ISNUMBER(AC58),Parámetros!$B$7,0)+IF(ISNUMBER(AD58),Parámetros!$B$8,0)+IF(ISNUMBER(AE58),Parámetros!$B$9,0)+IF(ISNUMBER(AF58),Parámetros!$B$10,0)+IF(ISNUMBER(AG58),Parámetros!$B$11,0)))</f>
        <v/>
      </c>
      <c r="AJ58" s="47" t="n">
        <f aca="false">IF(AND(ISNUMBER(Y58),N(Y58)&lt;60),69.9,IF(OR(AND(ISNUMBER(AE58),N(AE58)&lt;80),AND(ISNUMBER(AC58),N(AC58)&lt;50,N(O58)&gt;=2)),84.9,100))</f>
        <v>100</v>
      </c>
      <c r="AK58" s="47" t="str">
        <f aca="false">IF(AI58="","",MIN(AI58,AJ58))</f>
        <v/>
      </c>
      <c r="AL58" s="47" t="str">
        <f aca="false">IF($C58="","",IF(AK58="","Gris — menos de 3 fuentes",IF(AND(AK58&lt;Parámetros!$B$14,N58&lt;&gt;"",N(N58)&lt;Parámetros!$B$15,N(Y58)&gt;=60),"Gris — repetir observación",IF(AK58&gt;=Parámetros!$B$13,"Verde",IF(AK58&gt;=Parámetros!$B$14,"Amarillo","Rojo")))))</f>
        <v/>
      </c>
      <c r="AM58" s="47" t="str">
        <f aca="false">IF($C58="","",IF(AND(ISNUMBER(Y58),N(Y58)&lt;60),"Ejecución &lt; 60 %: rojo automático",IF(AND(ISNUMBER(AE58),N(AE58)&lt;80),"PIAR &lt; 80 %: máximo amarillo",IF(AND(ISNUMBER(AC58),N(AC58)&lt;50,N(O58)&gt;=2),"Observación &lt; 50: máximo amarillo",IF(AND(N58&lt;&gt;"",N(N58)&lt;Parámetros!$B$15),"κ &lt; 0,60: observación descartada, repetir","")))))</f>
        <v/>
      </c>
    </row>
    <row r="59" customFormat="false" ht="15" hidden="false" customHeight="fals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7" t="str">
        <f aca="false">IF(N(E59)&gt;0,MIN(100,F59/E59*100),"")</f>
        <v/>
      </c>
      <c r="Y59" s="47" t="str">
        <f aca="false">IF(N(G59)&gt;0,MIN(100,H59/G59*100),"")</f>
        <v/>
      </c>
      <c r="Z59" s="47" t="str">
        <f aca="false">IF(N(I59)&gt;0,MIN(100,J59/I59*100),"")</f>
        <v/>
      </c>
      <c r="AA59" s="47" t="str">
        <f aca="false">IF(K59="","",K59/24*100)</f>
        <v/>
      </c>
      <c r="AB59" s="47" t="str">
        <f aca="false">IF(L59="","",L59/3*100)</f>
        <v/>
      </c>
      <c r="AC59" s="47" t="str">
        <f aca="false">IF(OR(M59="",AND(N59&lt;&gt;"",N(N59)&lt;Parámetros!$B$15)),"",MAX(0,MIN(100,(M59-1)/4*100)))</f>
        <v/>
      </c>
      <c r="AD59" s="47" t="str">
        <f aca="false">IF(OR(P59="",N(Q59)=0),"",MAX(0,MIN(100,((Q59/(Q59+Parámetros!$B$16))*P59+(Parámetros!$B$16/(Q59+Parámetros!$B$16))*Parámetros!$B$17-0.1)/0.4*100)))</f>
        <v/>
      </c>
      <c r="AE59" s="47" t="str">
        <f aca="false">IF(N(R59)&gt;0,MIN(100,S59/R59*100),"")</f>
        <v/>
      </c>
      <c r="AF59" s="47" t="str">
        <f aca="false">IF(N(U59)&gt;0,MIN(100,T59/(U59*5)*100),"")</f>
        <v/>
      </c>
      <c r="AG59" s="47" t="str">
        <f aca="false">IF(OR(V59="",N(W59)&lt;10),"",(V59-1)/4*100)</f>
        <v/>
      </c>
      <c r="AH59" s="47" t="str">
        <f aca="false">IF($C59="","",COUNT(X59:AG59))</f>
        <v/>
      </c>
      <c r="AI59" s="47" t="str">
        <f aca="false">IF(OR($C59="",N(AH59)&lt;Parámetros!$B$18),"",(IF(ISNUMBER(X59),X59*Parámetros!$B$2,0)+IF(ISNUMBER(Y59),Y59*Parámetros!$B$3,0)+IF(ISNUMBER(Z59),Z59*Parámetros!$B$4,0)+IF(ISNUMBER(AA59),AA59*Parámetros!$B$5,0)+IF(ISNUMBER(AB59),AB59*Parámetros!$B$6,0)+IF(ISNUMBER(AC59),AC59*Parámetros!$B$7,0)+IF(ISNUMBER(AD59),AD59*Parámetros!$B$8,0)+IF(ISNUMBER(AE59),AE59*Parámetros!$B$9,0)+IF(ISNUMBER(AF59),AF59*Parámetros!$B$10,0)+IF(ISNUMBER(AG59),AG59*Parámetros!$B$11,0))/(IF(ISNUMBER(X59),Parámetros!$B$2,0)+IF(ISNUMBER(Y59),Parámetros!$B$3,0)+IF(ISNUMBER(Z59),Parámetros!$B$4,0)+IF(ISNUMBER(AA59),Parámetros!$B$5,0)+IF(ISNUMBER(AB59),Parámetros!$B$6,0)+IF(ISNUMBER(AC59),Parámetros!$B$7,0)+IF(ISNUMBER(AD59),Parámetros!$B$8,0)+IF(ISNUMBER(AE59),Parámetros!$B$9,0)+IF(ISNUMBER(AF59),Parámetros!$B$10,0)+IF(ISNUMBER(AG59),Parámetros!$B$11,0)))</f>
        <v/>
      </c>
      <c r="AJ59" s="47" t="n">
        <f aca="false">IF(AND(ISNUMBER(Y59),N(Y59)&lt;60),69.9,IF(OR(AND(ISNUMBER(AE59),N(AE59)&lt;80),AND(ISNUMBER(AC59),N(AC59)&lt;50,N(O59)&gt;=2)),84.9,100))</f>
        <v>100</v>
      </c>
      <c r="AK59" s="47" t="str">
        <f aca="false">IF(AI59="","",MIN(AI59,AJ59))</f>
        <v/>
      </c>
      <c r="AL59" s="47" t="str">
        <f aca="false">IF($C59="","",IF(AK59="","Gris — menos de 3 fuentes",IF(AND(AK59&lt;Parámetros!$B$14,N59&lt;&gt;"",N(N59)&lt;Parámetros!$B$15,N(Y59)&gt;=60),"Gris — repetir observación",IF(AK59&gt;=Parámetros!$B$13,"Verde",IF(AK59&gt;=Parámetros!$B$14,"Amarillo","Rojo")))))</f>
        <v/>
      </c>
      <c r="AM59" s="47" t="str">
        <f aca="false">IF($C59="","",IF(AND(ISNUMBER(Y59),N(Y59)&lt;60),"Ejecución &lt; 60 %: rojo automático",IF(AND(ISNUMBER(AE59),N(AE59)&lt;80),"PIAR &lt; 80 %: máximo amarillo",IF(AND(ISNUMBER(AC59),N(AC59)&lt;50,N(O59)&gt;=2),"Observación &lt; 50: máximo amarillo",IF(AND(N59&lt;&gt;"",N(N59)&lt;Parámetros!$B$15),"κ &lt; 0,60: observación descartada, repetir","")))))</f>
        <v/>
      </c>
    </row>
    <row r="60" customFormat="false" ht="15" hidden="false" customHeight="fals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7" t="str">
        <f aca="false">IF(N(E60)&gt;0,MIN(100,F60/E60*100),"")</f>
        <v/>
      </c>
      <c r="Y60" s="47" t="str">
        <f aca="false">IF(N(G60)&gt;0,MIN(100,H60/G60*100),"")</f>
        <v/>
      </c>
      <c r="Z60" s="47" t="str">
        <f aca="false">IF(N(I60)&gt;0,MIN(100,J60/I60*100),"")</f>
        <v/>
      </c>
      <c r="AA60" s="47" t="str">
        <f aca="false">IF(K60="","",K60/24*100)</f>
        <v/>
      </c>
      <c r="AB60" s="47" t="str">
        <f aca="false">IF(L60="","",L60/3*100)</f>
        <v/>
      </c>
      <c r="AC60" s="47" t="str">
        <f aca="false">IF(OR(M60="",AND(N60&lt;&gt;"",N(N60)&lt;Parámetros!$B$15)),"",MAX(0,MIN(100,(M60-1)/4*100)))</f>
        <v/>
      </c>
      <c r="AD60" s="47" t="str">
        <f aca="false">IF(OR(P60="",N(Q60)=0),"",MAX(0,MIN(100,((Q60/(Q60+Parámetros!$B$16))*P60+(Parámetros!$B$16/(Q60+Parámetros!$B$16))*Parámetros!$B$17-0.1)/0.4*100)))</f>
        <v/>
      </c>
      <c r="AE60" s="47" t="str">
        <f aca="false">IF(N(R60)&gt;0,MIN(100,S60/R60*100),"")</f>
        <v/>
      </c>
      <c r="AF60" s="47" t="str">
        <f aca="false">IF(N(U60)&gt;0,MIN(100,T60/(U60*5)*100),"")</f>
        <v/>
      </c>
      <c r="AG60" s="47" t="str">
        <f aca="false">IF(OR(V60="",N(W60)&lt;10),"",(V60-1)/4*100)</f>
        <v/>
      </c>
      <c r="AH60" s="47" t="str">
        <f aca="false">IF($C60="","",COUNT(X60:AG60))</f>
        <v/>
      </c>
      <c r="AI60" s="47" t="str">
        <f aca="false">IF(OR($C60="",N(AH60)&lt;Parámetros!$B$18),"",(IF(ISNUMBER(X60),X60*Parámetros!$B$2,0)+IF(ISNUMBER(Y60),Y60*Parámetros!$B$3,0)+IF(ISNUMBER(Z60),Z60*Parámetros!$B$4,0)+IF(ISNUMBER(AA60),AA60*Parámetros!$B$5,0)+IF(ISNUMBER(AB60),AB60*Parámetros!$B$6,0)+IF(ISNUMBER(AC60),AC60*Parámetros!$B$7,0)+IF(ISNUMBER(AD60),AD60*Parámetros!$B$8,0)+IF(ISNUMBER(AE60),AE60*Parámetros!$B$9,0)+IF(ISNUMBER(AF60),AF60*Parámetros!$B$10,0)+IF(ISNUMBER(AG60),AG60*Parámetros!$B$11,0))/(IF(ISNUMBER(X60),Parámetros!$B$2,0)+IF(ISNUMBER(Y60),Parámetros!$B$3,0)+IF(ISNUMBER(Z60),Parámetros!$B$4,0)+IF(ISNUMBER(AA60),Parámetros!$B$5,0)+IF(ISNUMBER(AB60),Parámetros!$B$6,0)+IF(ISNUMBER(AC60),Parámetros!$B$7,0)+IF(ISNUMBER(AD60),Parámetros!$B$8,0)+IF(ISNUMBER(AE60),Parámetros!$B$9,0)+IF(ISNUMBER(AF60),Parámetros!$B$10,0)+IF(ISNUMBER(AG60),Parámetros!$B$11,0)))</f>
        <v/>
      </c>
      <c r="AJ60" s="47" t="n">
        <f aca="false">IF(AND(ISNUMBER(Y60),N(Y60)&lt;60),69.9,IF(OR(AND(ISNUMBER(AE60),N(AE60)&lt;80),AND(ISNUMBER(AC60),N(AC60)&lt;50,N(O60)&gt;=2)),84.9,100))</f>
        <v>100</v>
      </c>
      <c r="AK60" s="47" t="str">
        <f aca="false">IF(AI60="","",MIN(AI60,AJ60))</f>
        <v/>
      </c>
      <c r="AL60" s="47" t="str">
        <f aca="false">IF($C60="","",IF(AK60="","Gris — menos de 3 fuentes",IF(AND(AK60&lt;Parámetros!$B$14,N60&lt;&gt;"",N(N60)&lt;Parámetros!$B$15,N(Y60)&gt;=60),"Gris — repetir observación",IF(AK60&gt;=Parámetros!$B$13,"Verde",IF(AK60&gt;=Parámetros!$B$14,"Amarillo","Rojo")))))</f>
        <v/>
      </c>
      <c r="AM60" s="47" t="str">
        <f aca="false">IF($C60="","",IF(AND(ISNUMBER(Y60),N(Y60)&lt;60),"Ejecución &lt; 60 %: rojo automático",IF(AND(ISNUMBER(AE60),N(AE60)&lt;80),"PIAR &lt; 80 %: máximo amarillo",IF(AND(ISNUMBER(AC60),N(AC60)&lt;50,N(O60)&gt;=2),"Observación &lt; 50: máximo amarillo",IF(AND(N60&lt;&gt;"",N(N60)&lt;Parámetros!$B$15),"κ &lt; 0,60: observación descartada, repetir","")))))</f>
        <v/>
      </c>
    </row>
    <row r="61" customFormat="false" ht="15" hidden="false" customHeight="fals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7" t="str">
        <f aca="false">IF(N(E61)&gt;0,MIN(100,F61/E61*100),"")</f>
        <v/>
      </c>
      <c r="Y61" s="47" t="str">
        <f aca="false">IF(N(G61)&gt;0,MIN(100,H61/G61*100),"")</f>
        <v/>
      </c>
      <c r="Z61" s="47" t="str">
        <f aca="false">IF(N(I61)&gt;0,MIN(100,J61/I61*100),"")</f>
        <v/>
      </c>
      <c r="AA61" s="47" t="str">
        <f aca="false">IF(K61="","",K61/24*100)</f>
        <v/>
      </c>
      <c r="AB61" s="47" t="str">
        <f aca="false">IF(L61="","",L61/3*100)</f>
        <v/>
      </c>
      <c r="AC61" s="47" t="str">
        <f aca="false">IF(OR(M61="",AND(N61&lt;&gt;"",N(N61)&lt;Parámetros!$B$15)),"",MAX(0,MIN(100,(M61-1)/4*100)))</f>
        <v/>
      </c>
      <c r="AD61" s="47" t="str">
        <f aca="false">IF(OR(P61="",N(Q61)=0),"",MAX(0,MIN(100,((Q61/(Q61+Parámetros!$B$16))*P61+(Parámetros!$B$16/(Q61+Parámetros!$B$16))*Parámetros!$B$17-0.1)/0.4*100)))</f>
        <v/>
      </c>
      <c r="AE61" s="47" t="str">
        <f aca="false">IF(N(R61)&gt;0,MIN(100,S61/R61*100),"")</f>
        <v/>
      </c>
      <c r="AF61" s="47" t="str">
        <f aca="false">IF(N(U61)&gt;0,MIN(100,T61/(U61*5)*100),"")</f>
        <v/>
      </c>
      <c r="AG61" s="47" t="str">
        <f aca="false">IF(OR(V61="",N(W61)&lt;10),"",(V61-1)/4*100)</f>
        <v/>
      </c>
      <c r="AH61" s="47" t="str">
        <f aca="false">IF($C61="","",COUNT(X61:AG61))</f>
        <v/>
      </c>
      <c r="AI61" s="47" t="str">
        <f aca="false">IF(OR($C61="",N(AH61)&lt;Parámetros!$B$18),"",(IF(ISNUMBER(X61),X61*Parámetros!$B$2,0)+IF(ISNUMBER(Y61),Y61*Parámetros!$B$3,0)+IF(ISNUMBER(Z61),Z61*Parámetros!$B$4,0)+IF(ISNUMBER(AA61),AA61*Parámetros!$B$5,0)+IF(ISNUMBER(AB61),AB61*Parámetros!$B$6,0)+IF(ISNUMBER(AC61),AC61*Parámetros!$B$7,0)+IF(ISNUMBER(AD61),AD61*Parámetros!$B$8,0)+IF(ISNUMBER(AE61),AE61*Parámetros!$B$9,0)+IF(ISNUMBER(AF61),AF61*Parámetros!$B$10,0)+IF(ISNUMBER(AG61),AG61*Parámetros!$B$11,0))/(IF(ISNUMBER(X61),Parámetros!$B$2,0)+IF(ISNUMBER(Y61),Parámetros!$B$3,0)+IF(ISNUMBER(Z61),Parámetros!$B$4,0)+IF(ISNUMBER(AA61),Parámetros!$B$5,0)+IF(ISNUMBER(AB61),Parámetros!$B$6,0)+IF(ISNUMBER(AC61),Parámetros!$B$7,0)+IF(ISNUMBER(AD61),Parámetros!$B$8,0)+IF(ISNUMBER(AE61),Parámetros!$B$9,0)+IF(ISNUMBER(AF61),Parámetros!$B$10,0)+IF(ISNUMBER(AG61),Parámetros!$B$11,0)))</f>
        <v/>
      </c>
      <c r="AJ61" s="47" t="n">
        <f aca="false">IF(AND(ISNUMBER(Y61),N(Y61)&lt;60),69.9,IF(OR(AND(ISNUMBER(AE61),N(AE61)&lt;80),AND(ISNUMBER(AC61),N(AC61)&lt;50,N(O61)&gt;=2)),84.9,100))</f>
        <v>100</v>
      </c>
      <c r="AK61" s="47" t="str">
        <f aca="false">IF(AI61="","",MIN(AI61,AJ61))</f>
        <v/>
      </c>
      <c r="AL61" s="47" t="str">
        <f aca="false">IF($C61="","",IF(AK61="","Gris — menos de 3 fuentes",IF(AND(AK61&lt;Parámetros!$B$14,N61&lt;&gt;"",N(N61)&lt;Parámetros!$B$15,N(Y61)&gt;=60),"Gris — repetir observación",IF(AK61&gt;=Parámetros!$B$13,"Verde",IF(AK61&gt;=Parámetros!$B$14,"Amarillo","Rojo")))))</f>
        <v/>
      </c>
      <c r="AM61" s="47" t="str">
        <f aca="false">IF($C61="","",IF(AND(ISNUMBER(Y61),N(Y61)&lt;60),"Ejecución &lt; 60 %: rojo automático",IF(AND(ISNUMBER(AE61),N(AE61)&lt;80),"PIAR &lt; 80 %: máximo amarillo",IF(AND(ISNUMBER(AC61),N(AC61)&lt;50,N(O61)&gt;=2),"Observación &lt; 50: máximo amarillo",IF(AND(N61&lt;&gt;"",N(N61)&lt;Parámetros!$B$15),"κ &lt; 0,60: observación descartada, repetir","")))))</f>
        <v/>
      </c>
    </row>
    <row r="62" customFormat="false" ht="15" hidden="false" customHeight="fals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7" t="str">
        <f aca="false">IF(N(E62)&gt;0,MIN(100,F62/E62*100),"")</f>
        <v/>
      </c>
      <c r="Y62" s="47" t="str">
        <f aca="false">IF(N(G62)&gt;0,MIN(100,H62/G62*100),"")</f>
        <v/>
      </c>
      <c r="Z62" s="47" t="str">
        <f aca="false">IF(N(I62)&gt;0,MIN(100,J62/I62*100),"")</f>
        <v/>
      </c>
      <c r="AA62" s="47" t="str">
        <f aca="false">IF(K62="","",K62/24*100)</f>
        <v/>
      </c>
      <c r="AB62" s="47" t="str">
        <f aca="false">IF(L62="","",L62/3*100)</f>
        <v/>
      </c>
      <c r="AC62" s="47" t="str">
        <f aca="false">IF(OR(M62="",AND(N62&lt;&gt;"",N(N62)&lt;Parámetros!$B$15)),"",MAX(0,MIN(100,(M62-1)/4*100)))</f>
        <v/>
      </c>
      <c r="AD62" s="47" t="str">
        <f aca="false">IF(OR(P62="",N(Q62)=0),"",MAX(0,MIN(100,((Q62/(Q62+Parámetros!$B$16))*P62+(Parámetros!$B$16/(Q62+Parámetros!$B$16))*Parámetros!$B$17-0.1)/0.4*100)))</f>
        <v/>
      </c>
      <c r="AE62" s="47" t="str">
        <f aca="false">IF(N(R62)&gt;0,MIN(100,S62/R62*100),"")</f>
        <v/>
      </c>
      <c r="AF62" s="47" t="str">
        <f aca="false">IF(N(U62)&gt;0,MIN(100,T62/(U62*5)*100),"")</f>
        <v/>
      </c>
      <c r="AG62" s="47" t="str">
        <f aca="false">IF(OR(V62="",N(W62)&lt;10),"",(V62-1)/4*100)</f>
        <v/>
      </c>
      <c r="AH62" s="47" t="str">
        <f aca="false">IF($C62="","",COUNT(X62:AG62))</f>
        <v/>
      </c>
      <c r="AI62" s="47" t="str">
        <f aca="false">IF(OR($C62="",N(AH62)&lt;Parámetros!$B$18),"",(IF(ISNUMBER(X62),X62*Parámetros!$B$2,0)+IF(ISNUMBER(Y62),Y62*Parámetros!$B$3,0)+IF(ISNUMBER(Z62),Z62*Parámetros!$B$4,0)+IF(ISNUMBER(AA62),AA62*Parámetros!$B$5,0)+IF(ISNUMBER(AB62),AB62*Parámetros!$B$6,0)+IF(ISNUMBER(AC62),AC62*Parámetros!$B$7,0)+IF(ISNUMBER(AD62),AD62*Parámetros!$B$8,0)+IF(ISNUMBER(AE62),AE62*Parámetros!$B$9,0)+IF(ISNUMBER(AF62),AF62*Parámetros!$B$10,0)+IF(ISNUMBER(AG62),AG62*Parámetros!$B$11,0))/(IF(ISNUMBER(X62),Parámetros!$B$2,0)+IF(ISNUMBER(Y62),Parámetros!$B$3,0)+IF(ISNUMBER(Z62),Parámetros!$B$4,0)+IF(ISNUMBER(AA62),Parámetros!$B$5,0)+IF(ISNUMBER(AB62),Parámetros!$B$6,0)+IF(ISNUMBER(AC62),Parámetros!$B$7,0)+IF(ISNUMBER(AD62),Parámetros!$B$8,0)+IF(ISNUMBER(AE62),Parámetros!$B$9,0)+IF(ISNUMBER(AF62),Parámetros!$B$10,0)+IF(ISNUMBER(AG62),Parámetros!$B$11,0)))</f>
        <v/>
      </c>
      <c r="AJ62" s="47" t="n">
        <f aca="false">IF(AND(ISNUMBER(Y62),N(Y62)&lt;60),69.9,IF(OR(AND(ISNUMBER(AE62),N(AE62)&lt;80),AND(ISNUMBER(AC62),N(AC62)&lt;50,N(O62)&gt;=2)),84.9,100))</f>
        <v>100</v>
      </c>
      <c r="AK62" s="47" t="str">
        <f aca="false">IF(AI62="","",MIN(AI62,AJ62))</f>
        <v/>
      </c>
      <c r="AL62" s="47" t="str">
        <f aca="false">IF($C62="","",IF(AK62="","Gris — menos de 3 fuentes",IF(AND(AK62&lt;Parámetros!$B$14,N62&lt;&gt;"",N(N62)&lt;Parámetros!$B$15,N(Y62)&gt;=60),"Gris — repetir observación",IF(AK62&gt;=Parámetros!$B$13,"Verde",IF(AK62&gt;=Parámetros!$B$14,"Amarillo","Rojo")))))</f>
        <v/>
      </c>
      <c r="AM62" s="47" t="str">
        <f aca="false">IF($C62="","",IF(AND(ISNUMBER(Y62),N(Y62)&lt;60),"Ejecución &lt; 60 %: rojo automático",IF(AND(ISNUMBER(AE62),N(AE62)&lt;80),"PIAR &lt; 80 %: máximo amarillo",IF(AND(ISNUMBER(AC62),N(AC62)&lt;50,N(O62)&gt;=2),"Observación &lt; 50: máximo amarillo",IF(AND(N62&lt;&gt;"",N(N62)&lt;Parámetros!$B$15),"κ &lt; 0,60: observación descartada, repetir","")))))</f>
        <v/>
      </c>
    </row>
    <row r="63" customFormat="false" ht="15" hidden="false" customHeight="fals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7" t="str">
        <f aca="false">IF(N(E63)&gt;0,MIN(100,F63/E63*100),"")</f>
        <v/>
      </c>
      <c r="Y63" s="47" t="str">
        <f aca="false">IF(N(G63)&gt;0,MIN(100,H63/G63*100),"")</f>
        <v/>
      </c>
      <c r="Z63" s="47" t="str">
        <f aca="false">IF(N(I63)&gt;0,MIN(100,J63/I63*100),"")</f>
        <v/>
      </c>
      <c r="AA63" s="47" t="str">
        <f aca="false">IF(K63="","",K63/24*100)</f>
        <v/>
      </c>
      <c r="AB63" s="47" t="str">
        <f aca="false">IF(L63="","",L63/3*100)</f>
        <v/>
      </c>
      <c r="AC63" s="47" t="str">
        <f aca="false">IF(OR(M63="",AND(N63&lt;&gt;"",N(N63)&lt;Parámetros!$B$15)),"",MAX(0,MIN(100,(M63-1)/4*100)))</f>
        <v/>
      </c>
      <c r="AD63" s="47" t="str">
        <f aca="false">IF(OR(P63="",N(Q63)=0),"",MAX(0,MIN(100,((Q63/(Q63+Parámetros!$B$16))*P63+(Parámetros!$B$16/(Q63+Parámetros!$B$16))*Parámetros!$B$17-0.1)/0.4*100)))</f>
        <v/>
      </c>
      <c r="AE63" s="47" t="str">
        <f aca="false">IF(N(R63)&gt;0,MIN(100,S63/R63*100),"")</f>
        <v/>
      </c>
      <c r="AF63" s="47" t="str">
        <f aca="false">IF(N(U63)&gt;0,MIN(100,T63/(U63*5)*100),"")</f>
        <v/>
      </c>
      <c r="AG63" s="47" t="str">
        <f aca="false">IF(OR(V63="",N(W63)&lt;10),"",(V63-1)/4*100)</f>
        <v/>
      </c>
      <c r="AH63" s="47" t="str">
        <f aca="false">IF($C63="","",COUNT(X63:AG63))</f>
        <v/>
      </c>
      <c r="AI63" s="47" t="str">
        <f aca="false">IF(OR($C63="",N(AH63)&lt;Parámetros!$B$18),"",(IF(ISNUMBER(X63),X63*Parámetros!$B$2,0)+IF(ISNUMBER(Y63),Y63*Parámetros!$B$3,0)+IF(ISNUMBER(Z63),Z63*Parámetros!$B$4,0)+IF(ISNUMBER(AA63),AA63*Parámetros!$B$5,0)+IF(ISNUMBER(AB63),AB63*Parámetros!$B$6,0)+IF(ISNUMBER(AC63),AC63*Parámetros!$B$7,0)+IF(ISNUMBER(AD63),AD63*Parámetros!$B$8,0)+IF(ISNUMBER(AE63),AE63*Parámetros!$B$9,0)+IF(ISNUMBER(AF63),AF63*Parámetros!$B$10,0)+IF(ISNUMBER(AG63),AG63*Parámetros!$B$11,0))/(IF(ISNUMBER(X63),Parámetros!$B$2,0)+IF(ISNUMBER(Y63),Parámetros!$B$3,0)+IF(ISNUMBER(Z63),Parámetros!$B$4,0)+IF(ISNUMBER(AA63),Parámetros!$B$5,0)+IF(ISNUMBER(AB63),Parámetros!$B$6,0)+IF(ISNUMBER(AC63),Parámetros!$B$7,0)+IF(ISNUMBER(AD63),Parámetros!$B$8,0)+IF(ISNUMBER(AE63),Parámetros!$B$9,0)+IF(ISNUMBER(AF63),Parámetros!$B$10,0)+IF(ISNUMBER(AG63),Parámetros!$B$11,0)))</f>
        <v/>
      </c>
      <c r="AJ63" s="47" t="n">
        <f aca="false">IF(AND(ISNUMBER(Y63),N(Y63)&lt;60),69.9,IF(OR(AND(ISNUMBER(AE63),N(AE63)&lt;80),AND(ISNUMBER(AC63),N(AC63)&lt;50,N(O63)&gt;=2)),84.9,100))</f>
        <v>100</v>
      </c>
      <c r="AK63" s="47" t="str">
        <f aca="false">IF(AI63="","",MIN(AI63,AJ63))</f>
        <v/>
      </c>
      <c r="AL63" s="47" t="str">
        <f aca="false">IF($C63="","",IF(AK63="","Gris — menos de 3 fuentes",IF(AND(AK63&lt;Parámetros!$B$14,N63&lt;&gt;"",N(N63)&lt;Parámetros!$B$15,N(Y63)&gt;=60),"Gris — repetir observación",IF(AK63&gt;=Parámetros!$B$13,"Verde",IF(AK63&gt;=Parámetros!$B$14,"Amarillo","Rojo")))))</f>
        <v/>
      </c>
      <c r="AM63" s="47" t="str">
        <f aca="false">IF($C63="","",IF(AND(ISNUMBER(Y63),N(Y63)&lt;60),"Ejecución &lt; 60 %: rojo automático",IF(AND(ISNUMBER(AE63),N(AE63)&lt;80),"PIAR &lt; 80 %: máximo amarillo",IF(AND(ISNUMBER(AC63),N(AC63)&lt;50,N(O63)&gt;=2),"Observación &lt; 50: máximo amarillo",IF(AND(N63&lt;&gt;"",N(N63)&lt;Parámetros!$B$15),"κ &lt; 0,60: observación descartada, repetir","")))))</f>
        <v/>
      </c>
    </row>
    <row r="64" customFormat="false" ht="15" hidden="false" customHeight="fals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7" t="str">
        <f aca="false">IF(N(E64)&gt;0,MIN(100,F64/E64*100),"")</f>
        <v/>
      </c>
      <c r="Y64" s="47" t="str">
        <f aca="false">IF(N(G64)&gt;0,MIN(100,H64/G64*100),"")</f>
        <v/>
      </c>
      <c r="Z64" s="47" t="str">
        <f aca="false">IF(N(I64)&gt;0,MIN(100,J64/I64*100),"")</f>
        <v/>
      </c>
      <c r="AA64" s="47" t="str">
        <f aca="false">IF(K64="","",K64/24*100)</f>
        <v/>
      </c>
      <c r="AB64" s="47" t="str">
        <f aca="false">IF(L64="","",L64/3*100)</f>
        <v/>
      </c>
      <c r="AC64" s="47" t="str">
        <f aca="false">IF(OR(M64="",AND(N64&lt;&gt;"",N(N64)&lt;Parámetros!$B$15)),"",MAX(0,MIN(100,(M64-1)/4*100)))</f>
        <v/>
      </c>
      <c r="AD64" s="47" t="str">
        <f aca="false">IF(OR(P64="",N(Q64)=0),"",MAX(0,MIN(100,((Q64/(Q64+Parámetros!$B$16))*P64+(Parámetros!$B$16/(Q64+Parámetros!$B$16))*Parámetros!$B$17-0.1)/0.4*100)))</f>
        <v/>
      </c>
      <c r="AE64" s="47" t="str">
        <f aca="false">IF(N(R64)&gt;0,MIN(100,S64/R64*100),"")</f>
        <v/>
      </c>
      <c r="AF64" s="47" t="str">
        <f aca="false">IF(N(U64)&gt;0,MIN(100,T64/(U64*5)*100),"")</f>
        <v/>
      </c>
      <c r="AG64" s="47" t="str">
        <f aca="false">IF(OR(V64="",N(W64)&lt;10),"",(V64-1)/4*100)</f>
        <v/>
      </c>
      <c r="AH64" s="47" t="str">
        <f aca="false">IF($C64="","",COUNT(X64:AG64))</f>
        <v/>
      </c>
      <c r="AI64" s="47" t="str">
        <f aca="false">IF(OR($C64="",N(AH64)&lt;Parámetros!$B$18),"",(IF(ISNUMBER(X64),X64*Parámetros!$B$2,0)+IF(ISNUMBER(Y64),Y64*Parámetros!$B$3,0)+IF(ISNUMBER(Z64),Z64*Parámetros!$B$4,0)+IF(ISNUMBER(AA64),AA64*Parámetros!$B$5,0)+IF(ISNUMBER(AB64),AB64*Parámetros!$B$6,0)+IF(ISNUMBER(AC64),AC64*Parámetros!$B$7,0)+IF(ISNUMBER(AD64),AD64*Parámetros!$B$8,0)+IF(ISNUMBER(AE64),AE64*Parámetros!$B$9,0)+IF(ISNUMBER(AF64),AF64*Parámetros!$B$10,0)+IF(ISNUMBER(AG64),AG64*Parámetros!$B$11,0))/(IF(ISNUMBER(X64),Parámetros!$B$2,0)+IF(ISNUMBER(Y64),Parámetros!$B$3,0)+IF(ISNUMBER(Z64),Parámetros!$B$4,0)+IF(ISNUMBER(AA64),Parámetros!$B$5,0)+IF(ISNUMBER(AB64),Parámetros!$B$6,0)+IF(ISNUMBER(AC64),Parámetros!$B$7,0)+IF(ISNUMBER(AD64),Parámetros!$B$8,0)+IF(ISNUMBER(AE64),Parámetros!$B$9,0)+IF(ISNUMBER(AF64),Parámetros!$B$10,0)+IF(ISNUMBER(AG64),Parámetros!$B$11,0)))</f>
        <v/>
      </c>
      <c r="AJ64" s="47" t="n">
        <f aca="false">IF(AND(ISNUMBER(Y64),N(Y64)&lt;60),69.9,IF(OR(AND(ISNUMBER(AE64),N(AE64)&lt;80),AND(ISNUMBER(AC64),N(AC64)&lt;50,N(O64)&gt;=2)),84.9,100))</f>
        <v>100</v>
      </c>
      <c r="AK64" s="47" t="str">
        <f aca="false">IF(AI64="","",MIN(AI64,AJ64))</f>
        <v/>
      </c>
      <c r="AL64" s="47" t="str">
        <f aca="false">IF($C64="","",IF(AK64="","Gris — menos de 3 fuentes",IF(AND(AK64&lt;Parámetros!$B$14,N64&lt;&gt;"",N(N64)&lt;Parámetros!$B$15,N(Y64)&gt;=60),"Gris — repetir observación",IF(AK64&gt;=Parámetros!$B$13,"Verde",IF(AK64&gt;=Parámetros!$B$14,"Amarillo","Rojo")))))</f>
        <v/>
      </c>
      <c r="AM64" s="47" t="str">
        <f aca="false">IF($C64="","",IF(AND(ISNUMBER(Y64),N(Y64)&lt;60),"Ejecución &lt; 60 %: rojo automático",IF(AND(ISNUMBER(AE64),N(AE64)&lt;80),"PIAR &lt; 80 %: máximo amarillo",IF(AND(ISNUMBER(AC64),N(AC64)&lt;50,N(O64)&gt;=2),"Observación &lt; 50: máximo amarillo",IF(AND(N64&lt;&gt;"",N(N64)&lt;Parámetros!$B$15),"κ &lt; 0,60: observación descartada, repetir","")))))</f>
        <v/>
      </c>
    </row>
    <row r="65" customFormat="false" ht="15" hidden="false" customHeight="fals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7" t="str">
        <f aca="false">IF(N(E65)&gt;0,MIN(100,F65/E65*100),"")</f>
        <v/>
      </c>
      <c r="Y65" s="47" t="str">
        <f aca="false">IF(N(G65)&gt;0,MIN(100,H65/G65*100),"")</f>
        <v/>
      </c>
      <c r="Z65" s="47" t="str">
        <f aca="false">IF(N(I65)&gt;0,MIN(100,J65/I65*100),"")</f>
        <v/>
      </c>
      <c r="AA65" s="47" t="str">
        <f aca="false">IF(K65="","",K65/24*100)</f>
        <v/>
      </c>
      <c r="AB65" s="47" t="str">
        <f aca="false">IF(L65="","",L65/3*100)</f>
        <v/>
      </c>
      <c r="AC65" s="47" t="str">
        <f aca="false">IF(OR(M65="",AND(N65&lt;&gt;"",N(N65)&lt;Parámetros!$B$15)),"",MAX(0,MIN(100,(M65-1)/4*100)))</f>
        <v/>
      </c>
      <c r="AD65" s="47" t="str">
        <f aca="false">IF(OR(P65="",N(Q65)=0),"",MAX(0,MIN(100,((Q65/(Q65+Parámetros!$B$16))*P65+(Parámetros!$B$16/(Q65+Parámetros!$B$16))*Parámetros!$B$17-0.1)/0.4*100)))</f>
        <v/>
      </c>
      <c r="AE65" s="47" t="str">
        <f aca="false">IF(N(R65)&gt;0,MIN(100,S65/R65*100),"")</f>
        <v/>
      </c>
      <c r="AF65" s="47" t="str">
        <f aca="false">IF(N(U65)&gt;0,MIN(100,T65/(U65*5)*100),"")</f>
        <v/>
      </c>
      <c r="AG65" s="47" t="str">
        <f aca="false">IF(OR(V65="",N(W65)&lt;10),"",(V65-1)/4*100)</f>
        <v/>
      </c>
      <c r="AH65" s="47" t="str">
        <f aca="false">IF($C65="","",COUNT(X65:AG65))</f>
        <v/>
      </c>
      <c r="AI65" s="47" t="str">
        <f aca="false">IF(OR($C65="",N(AH65)&lt;Parámetros!$B$18),"",(IF(ISNUMBER(X65),X65*Parámetros!$B$2,0)+IF(ISNUMBER(Y65),Y65*Parámetros!$B$3,0)+IF(ISNUMBER(Z65),Z65*Parámetros!$B$4,0)+IF(ISNUMBER(AA65),AA65*Parámetros!$B$5,0)+IF(ISNUMBER(AB65),AB65*Parámetros!$B$6,0)+IF(ISNUMBER(AC65),AC65*Parámetros!$B$7,0)+IF(ISNUMBER(AD65),AD65*Parámetros!$B$8,0)+IF(ISNUMBER(AE65),AE65*Parámetros!$B$9,0)+IF(ISNUMBER(AF65),AF65*Parámetros!$B$10,0)+IF(ISNUMBER(AG65),AG65*Parámetros!$B$11,0))/(IF(ISNUMBER(X65),Parámetros!$B$2,0)+IF(ISNUMBER(Y65),Parámetros!$B$3,0)+IF(ISNUMBER(Z65),Parámetros!$B$4,0)+IF(ISNUMBER(AA65),Parámetros!$B$5,0)+IF(ISNUMBER(AB65),Parámetros!$B$6,0)+IF(ISNUMBER(AC65),Parámetros!$B$7,0)+IF(ISNUMBER(AD65),Parámetros!$B$8,0)+IF(ISNUMBER(AE65),Parámetros!$B$9,0)+IF(ISNUMBER(AF65),Parámetros!$B$10,0)+IF(ISNUMBER(AG65),Parámetros!$B$11,0)))</f>
        <v/>
      </c>
      <c r="AJ65" s="47" t="n">
        <f aca="false">IF(AND(ISNUMBER(Y65),N(Y65)&lt;60),69.9,IF(OR(AND(ISNUMBER(AE65),N(AE65)&lt;80),AND(ISNUMBER(AC65),N(AC65)&lt;50,N(O65)&gt;=2)),84.9,100))</f>
        <v>100</v>
      </c>
      <c r="AK65" s="47" t="str">
        <f aca="false">IF(AI65="","",MIN(AI65,AJ65))</f>
        <v/>
      </c>
      <c r="AL65" s="47" t="str">
        <f aca="false">IF($C65="","",IF(AK65="","Gris — menos de 3 fuentes",IF(AND(AK65&lt;Parámetros!$B$14,N65&lt;&gt;"",N(N65)&lt;Parámetros!$B$15,N(Y65)&gt;=60),"Gris — repetir observación",IF(AK65&gt;=Parámetros!$B$13,"Verde",IF(AK65&gt;=Parámetros!$B$14,"Amarillo","Rojo")))))</f>
        <v/>
      </c>
      <c r="AM65" s="47" t="str">
        <f aca="false">IF($C65="","",IF(AND(ISNUMBER(Y65),N(Y65)&lt;60),"Ejecución &lt; 60 %: rojo automático",IF(AND(ISNUMBER(AE65),N(AE65)&lt;80),"PIAR &lt; 80 %: máximo amarillo",IF(AND(ISNUMBER(AC65),N(AC65)&lt;50,N(O65)&gt;=2),"Observación &lt; 50: máximo amarillo",IF(AND(N65&lt;&gt;"",N(N65)&lt;Parámetros!$B$15),"κ &lt; 0,60: observación descartada, repetir","")))))</f>
        <v/>
      </c>
    </row>
    <row r="66" customFormat="false" ht="15" hidden="false" customHeight="fals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7" t="str">
        <f aca="false">IF(N(E66)&gt;0,MIN(100,F66/E66*100),"")</f>
        <v/>
      </c>
      <c r="Y66" s="47" t="str">
        <f aca="false">IF(N(G66)&gt;0,MIN(100,H66/G66*100),"")</f>
        <v/>
      </c>
      <c r="Z66" s="47" t="str">
        <f aca="false">IF(N(I66)&gt;0,MIN(100,J66/I66*100),"")</f>
        <v/>
      </c>
      <c r="AA66" s="47" t="str">
        <f aca="false">IF(K66="","",K66/24*100)</f>
        <v/>
      </c>
      <c r="AB66" s="47" t="str">
        <f aca="false">IF(L66="","",L66/3*100)</f>
        <v/>
      </c>
      <c r="AC66" s="47" t="str">
        <f aca="false">IF(OR(M66="",AND(N66&lt;&gt;"",N(N66)&lt;Parámetros!$B$15)),"",MAX(0,MIN(100,(M66-1)/4*100)))</f>
        <v/>
      </c>
      <c r="AD66" s="47" t="str">
        <f aca="false">IF(OR(P66="",N(Q66)=0),"",MAX(0,MIN(100,((Q66/(Q66+Parámetros!$B$16))*P66+(Parámetros!$B$16/(Q66+Parámetros!$B$16))*Parámetros!$B$17-0.1)/0.4*100)))</f>
        <v/>
      </c>
      <c r="AE66" s="47" t="str">
        <f aca="false">IF(N(R66)&gt;0,MIN(100,S66/R66*100),"")</f>
        <v/>
      </c>
      <c r="AF66" s="47" t="str">
        <f aca="false">IF(N(U66)&gt;0,MIN(100,T66/(U66*5)*100),"")</f>
        <v/>
      </c>
      <c r="AG66" s="47" t="str">
        <f aca="false">IF(OR(V66="",N(W66)&lt;10),"",(V66-1)/4*100)</f>
        <v/>
      </c>
      <c r="AH66" s="47" t="str">
        <f aca="false">IF($C66="","",COUNT(X66:AG66))</f>
        <v/>
      </c>
      <c r="AI66" s="47" t="str">
        <f aca="false">IF(OR($C66="",N(AH66)&lt;Parámetros!$B$18),"",(IF(ISNUMBER(X66),X66*Parámetros!$B$2,0)+IF(ISNUMBER(Y66),Y66*Parámetros!$B$3,0)+IF(ISNUMBER(Z66),Z66*Parámetros!$B$4,0)+IF(ISNUMBER(AA66),AA66*Parámetros!$B$5,0)+IF(ISNUMBER(AB66),AB66*Parámetros!$B$6,0)+IF(ISNUMBER(AC66),AC66*Parámetros!$B$7,0)+IF(ISNUMBER(AD66),AD66*Parámetros!$B$8,0)+IF(ISNUMBER(AE66),AE66*Parámetros!$B$9,0)+IF(ISNUMBER(AF66),AF66*Parámetros!$B$10,0)+IF(ISNUMBER(AG66),AG66*Parámetros!$B$11,0))/(IF(ISNUMBER(X66),Parámetros!$B$2,0)+IF(ISNUMBER(Y66),Parámetros!$B$3,0)+IF(ISNUMBER(Z66),Parámetros!$B$4,0)+IF(ISNUMBER(AA66),Parámetros!$B$5,0)+IF(ISNUMBER(AB66),Parámetros!$B$6,0)+IF(ISNUMBER(AC66),Parámetros!$B$7,0)+IF(ISNUMBER(AD66),Parámetros!$B$8,0)+IF(ISNUMBER(AE66),Parámetros!$B$9,0)+IF(ISNUMBER(AF66),Parámetros!$B$10,0)+IF(ISNUMBER(AG66),Parámetros!$B$11,0)))</f>
        <v/>
      </c>
      <c r="AJ66" s="47" t="n">
        <f aca="false">IF(AND(ISNUMBER(Y66),N(Y66)&lt;60),69.9,IF(OR(AND(ISNUMBER(AE66),N(AE66)&lt;80),AND(ISNUMBER(AC66),N(AC66)&lt;50,N(O66)&gt;=2)),84.9,100))</f>
        <v>100</v>
      </c>
      <c r="AK66" s="47" t="str">
        <f aca="false">IF(AI66="","",MIN(AI66,AJ66))</f>
        <v/>
      </c>
      <c r="AL66" s="47" t="str">
        <f aca="false">IF($C66="","",IF(AK66="","Gris — menos de 3 fuentes",IF(AND(AK66&lt;Parámetros!$B$14,N66&lt;&gt;"",N(N66)&lt;Parámetros!$B$15,N(Y66)&gt;=60),"Gris — repetir observación",IF(AK66&gt;=Parámetros!$B$13,"Verde",IF(AK66&gt;=Parámetros!$B$14,"Amarillo","Rojo")))))</f>
        <v/>
      </c>
      <c r="AM66" s="47" t="str">
        <f aca="false">IF($C66="","",IF(AND(ISNUMBER(Y66),N(Y66)&lt;60),"Ejecución &lt; 60 %: rojo automático",IF(AND(ISNUMBER(AE66),N(AE66)&lt;80),"PIAR &lt; 80 %: máximo amarillo",IF(AND(ISNUMBER(AC66),N(AC66)&lt;50,N(O66)&gt;=2),"Observación &lt; 50: máximo amarillo",IF(AND(N66&lt;&gt;"",N(N66)&lt;Parámetros!$B$15),"κ &lt; 0,60: observación descartada, repetir","")))))</f>
        <v/>
      </c>
    </row>
    <row r="67" customFormat="false" ht="15" hidden="false" customHeight="fals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7" t="str">
        <f aca="false">IF(N(E67)&gt;0,MIN(100,F67/E67*100),"")</f>
        <v/>
      </c>
      <c r="Y67" s="47" t="str">
        <f aca="false">IF(N(G67)&gt;0,MIN(100,H67/G67*100),"")</f>
        <v/>
      </c>
      <c r="Z67" s="47" t="str">
        <f aca="false">IF(N(I67)&gt;0,MIN(100,J67/I67*100),"")</f>
        <v/>
      </c>
      <c r="AA67" s="47" t="str">
        <f aca="false">IF(K67="","",K67/24*100)</f>
        <v/>
      </c>
      <c r="AB67" s="47" t="str">
        <f aca="false">IF(L67="","",L67/3*100)</f>
        <v/>
      </c>
      <c r="AC67" s="47" t="str">
        <f aca="false">IF(OR(M67="",AND(N67&lt;&gt;"",N(N67)&lt;Parámetros!$B$15)),"",MAX(0,MIN(100,(M67-1)/4*100)))</f>
        <v/>
      </c>
      <c r="AD67" s="47" t="str">
        <f aca="false">IF(OR(P67="",N(Q67)=0),"",MAX(0,MIN(100,((Q67/(Q67+Parámetros!$B$16))*P67+(Parámetros!$B$16/(Q67+Parámetros!$B$16))*Parámetros!$B$17-0.1)/0.4*100)))</f>
        <v/>
      </c>
      <c r="AE67" s="47" t="str">
        <f aca="false">IF(N(R67)&gt;0,MIN(100,S67/R67*100),"")</f>
        <v/>
      </c>
      <c r="AF67" s="47" t="str">
        <f aca="false">IF(N(U67)&gt;0,MIN(100,T67/(U67*5)*100),"")</f>
        <v/>
      </c>
      <c r="AG67" s="47" t="str">
        <f aca="false">IF(OR(V67="",N(W67)&lt;10),"",(V67-1)/4*100)</f>
        <v/>
      </c>
      <c r="AH67" s="47" t="str">
        <f aca="false">IF($C67="","",COUNT(X67:AG67))</f>
        <v/>
      </c>
      <c r="AI67" s="47" t="str">
        <f aca="false">IF(OR($C67="",N(AH67)&lt;Parámetros!$B$18),"",(IF(ISNUMBER(X67),X67*Parámetros!$B$2,0)+IF(ISNUMBER(Y67),Y67*Parámetros!$B$3,0)+IF(ISNUMBER(Z67),Z67*Parámetros!$B$4,0)+IF(ISNUMBER(AA67),AA67*Parámetros!$B$5,0)+IF(ISNUMBER(AB67),AB67*Parámetros!$B$6,0)+IF(ISNUMBER(AC67),AC67*Parámetros!$B$7,0)+IF(ISNUMBER(AD67),AD67*Parámetros!$B$8,0)+IF(ISNUMBER(AE67),AE67*Parámetros!$B$9,0)+IF(ISNUMBER(AF67),AF67*Parámetros!$B$10,0)+IF(ISNUMBER(AG67),AG67*Parámetros!$B$11,0))/(IF(ISNUMBER(X67),Parámetros!$B$2,0)+IF(ISNUMBER(Y67),Parámetros!$B$3,0)+IF(ISNUMBER(Z67),Parámetros!$B$4,0)+IF(ISNUMBER(AA67),Parámetros!$B$5,0)+IF(ISNUMBER(AB67),Parámetros!$B$6,0)+IF(ISNUMBER(AC67),Parámetros!$B$7,0)+IF(ISNUMBER(AD67),Parámetros!$B$8,0)+IF(ISNUMBER(AE67),Parámetros!$B$9,0)+IF(ISNUMBER(AF67),Parámetros!$B$10,0)+IF(ISNUMBER(AG67),Parámetros!$B$11,0)))</f>
        <v/>
      </c>
      <c r="AJ67" s="47" t="n">
        <f aca="false">IF(AND(ISNUMBER(Y67),N(Y67)&lt;60),69.9,IF(OR(AND(ISNUMBER(AE67),N(AE67)&lt;80),AND(ISNUMBER(AC67),N(AC67)&lt;50,N(O67)&gt;=2)),84.9,100))</f>
        <v>100</v>
      </c>
      <c r="AK67" s="47" t="str">
        <f aca="false">IF(AI67="","",MIN(AI67,AJ67))</f>
        <v/>
      </c>
      <c r="AL67" s="47" t="str">
        <f aca="false">IF($C67="","",IF(AK67="","Gris — menos de 3 fuentes",IF(AND(AK67&lt;Parámetros!$B$14,N67&lt;&gt;"",N(N67)&lt;Parámetros!$B$15,N(Y67)&gt;=60),"Gris — repetir observación",IF(AK67&gt;=Parámetros!$B$13,"Verde",IF(AK67&gt;=Parámetros!$B$14,"Amarillo","Rojo")))))</f>
        <v/>
      </c>
      <c r="AM67" s="47" t="str">
        <f aca="false">IF($C67="","",IF(AND(ISNUMBER(Y67),N(Y67)&lt;60),"Ejecución &lt; 60 %: rojo automático",IF(AND(ISNUMBER(AE67),N(AE67)&lt;80),"PIAR &lt; 80 %: máximo amarillo",IF(AND(ISNUMBER(AC67),N(AC67)&lt;50,N(O67)&gt;=2),"Observación &lt; 50: máximo amarillo",IF(AND(N67&lt;&gt;"",N(N67)&lt;Parámetros!$B$15),"κ &lt; 0,60: observación descartada, repetir","")))))</f>
        <v/>
      </c>
    </row>
    <row r="68" customFormat="false" ht="15" hidden="false" customHeight="fals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7" t="str">
        <f aca="false">IF(N(E68)&gt;0,MIN(100,F68/E68*100),"")</f>
        <v/>
      </c>
      <c r="Y68" s="47" t="str">
        <f aca="false">IF(N(G68)&gt;0,MIN(100,H68/G68*100),"")</f>
        <v/>
      </c>
      <c r="Z68" s="47" t="str">
        <f aca="false">IF(N(I68)&gt;0,MIN(100,J68/I68*100),"")</f>
        <v/>
      </c>
      <c r="AA68" s="47" t="str">
        <f aca="false">IF(K68="","",K68/24*100)</f>
        <v/>
      </c>
      <c r="AB68" s="47" t="str">
        <f aca="false">IF(L68="","",L68/3*100)</f>
        <v/>
      </c>
      <c r="AC68" s="47" t="str">
        <f aca="false">IF(OR(M68="",AND(N68&lt;&gt;"",N(N68)&lt;Parámetros!$B$15)),"",MAX(0,MIN(100,(M68-1)/4*100)))</f>
        <v/>
      </c>
      <c r="AD68" s="47" t="str">
        <f aca="false">IF(OR(P68="",N(Q68)=0),"",MAX(0,MIN(100,((Q68/(Q68+Parámetros!$B$16))*P68+(Parámetros!$B$16/(Q68+Parámetros!$B$16))*Parámetros!$B$17-0.1)/0.4*100)))</f>
        <v/>
      </c>
      <c r="AE68" s="47" t="str">
        <f aca="false">IF(N(R68)&gt;0,MIN(100,S68/R68*100),"")</f>
        <v/>
      </c>
      <c r="AF68" s="47" t="str">
        <f aca="false">IF(N(U68)&gt;0,MIN(100,T68/(U68*5)*100),"")</f>
        <v/>
      </c>
      <c r="AG68" s="47" t="str">
        <f aca="false">IF(OR(V68="",N(W68)&lt;10),"",(V68-1)/4*100)</f>
        <v/>
      </c>
      <c r="AH68" s="47" t="str">
        <f aca="false">IF($C68="","",COUNT(X68:AG68))</f>
        <v/>
      </c>
      <c r="AI68" s="47" t="str">
        <f aca="false">IF(OR($C68="",N(AH68)&lt;Parámetros!$B$18),"",(IF(ISNUMBER(X68),X68*Parámetros!$B$2,0)+IF(ISNUMBER(Y68),Y68*Parámetros!$B$3,0)+IF(ISNUMBER(Z68),Z68*Parámetros!$B$4,0)+IF(ISNUMBER(AA68),AA68*Parámetros!$B$5,0)+IF(ISNUMBER(AB68),AB68*Parámetros!$B$6,0)+IF(ISNUMBER(AC68),AC68*Parámetros!$B$7,0)+IF(ISNUMBER(AD68),AD68*Parámetros!$B$8,0)+IF(ISNUMBER(AE68),AE68*Parámetros!$B$9,0)+IF(ISNUMBER(AF68),AF68*Parámetros!$B$10,0)+IF(ISNUMBER(AG68),AG68*Parámetros!$B$11,0))/(IF(ISNUMBER(X68),Parámetros!$B$2,0)+IF(ISNUMBER(Y68),Parámetros!$B$3,0)+IF(ISNUMBER(Z68),Parámetros!$B$4,0)+IF(ISNUMBER(AA68),Parámetros!$B$5,0)+IF(ISNUMBER(AB68),Parámetros!$B$6,0)+IF(ISNUMBER(AC68),Parámetros!$B$7,0)+IF(ISNUMBER(AD68),Parámetros!$B$8,0)+IF(ISNUMBER(AE68),Parámetros!$B$9,0)+IF(ISNUMBER(AF68),Parámetros!$B$10,0)+IF(ISNUMBER(AG68),Parámetros!$B$11,0)))</f>
        <v/>
      </c>
      <c r="AJ68" s="47" t="n">
        <f aca="false">IF(AND(ISNUMBER(Y68),N(Y68)&lt;60),69.9,IF(OR(AND(ISNUMBER(AE68),N(AE68)&lt;80),AND(ISNUMBER(AC68),N(AC68)&lt;50,N(O68)&gt;=2)),84.9,100))</f>
        <v>100</v>
      </c>
      <c r="AK68" s="47" t="str">
        <f aca="false">IF(AI68="","",MIN(AI68,AJ68))</f>
        <v/>
      </c>
      <c r="AL68" s="47" t="str">
        <f aca="false">IF($C68="","",IF(AK68="","Gris — menos de 3 fuentes",IF(AND(AK68&lt;Parámetros!$B$14,N68&lt;&gt;"",N(N68)&lt;Parámetros!$B$15,N(Y68)&gt;=60),"Gris — repetir observación",IF(AK68&gt;=Parámetros!$B$13,"Verde",IF(AK68&gt;=Parámetros!$B$14,"Amarillo","Rojo")))))</f>
        <v/>
      </c>
      <c r="AM68" s="47" t="str">
        <f aca="false">IF($C68="","",IF(AND(ISNUMBER(Y68),N(Y68)&lt;60),"Ejecución &lt; 60 %: rojo automático",IF(AND(ISNUMBER(AE68),N(AE68)&lt;80),"PIAR &lt; 80 %: máximo amarillo",IF(AND(ISNUMBER(AC68),N(AC68)&lt;50,N(O68)&gt;=2),"Observación &lt; 50: máximo amarillo",IF(AND(N68&lt;&gt;"",N(N68)&lt;Parámetros!$B$15),"κ &lt; 0,60: observación descartada, repetir","")))))</f>
        <v/>
      </c>
    </row>
    <row r="69" customFormat="false" ht="15" hidden="false" customHeight="fals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7" t="str">
        <f aca="false">IF(N(E69)&gt;0,MIN(100,F69/E69*100),"")</f>
        <v/>
      </c>
      <c r="Y69" s="47" t="str">
        <f aca="false">IF(N(G69)&gt;0,MIN(100,H69/G69*100),"")</f>
        <v/>
      </c>
      <c r="Z69" s="47" t="str">
        <f aca="false">IF(N(I69)&gt;0,MIN(100,J69/I69*100),"")</f>
        <v/>
      </c>
      <c r="AA69" s="47" t="str">
        <f aca="false">IF(K69="","",K69/24*100)</f>
        <v/>
      </c>
      <c r="AB69" s="47" t="str">
        <f aca="false">IF(L69="","",L69/3*100)</f>
        <v/>
      </c>
      <c r="AC69" s="47" t="str">
        <f aca="false">IF(OR(M69="",AND(N69&lt;&gt;"",N(N69)&lt;Parámetros!$B$15)),"",MAX(0,MIN(100,(M69-1)/4*100)))</f>
        <v/>
      </c>
      <c r="AD69" s="47" t="str">
        <f aca="false">IF(OR(P69="",N(Q69)=0),"",MAX(0,MIN(100,((Q69/(Q69+Parámetros!$B$16))*P69+(Parámetros!$B$16/(Q69+Parámetros!$B$16))*Parámetros!$B$17-0.1)/0.4*100)))</f>
        <v/>
      </c>
      <c r="AE69" s="47" t="str">
        <f aca="false">IF(N(R69)&gt;0,MIN(100,S69/R69*100),"")</f>
        <v/>
      </c>
      <c r="AF69" s="47" t="str">
        <f aca="false">IF(N(U69)&gt;0,MIN(100,T69/(U69*5)*100),"")</f>
        <v/>
      </c>
      <c r="AG69" s="47" t="str">
        <f aca="false">IF(OR(V69="",N(W69)&lt;10),"",(V69-1)/4*100)</f>
        <v/>
      </c>
      <c r="AH69" s="47" t="str">
        <f aca="false">IF($C69="","",COUNT(X69:AG69))</f>
        <v/>
      </c>
      <c r="AI69" s="47" t="str">
        <f aca="false">IF(OR($C69="",N(AH69)&lt;Parámetros!$B$18),"",(IF(ISNUMBER(X69),X69*Parámetros!$B$2,0)+IF(ISNUMBER(Y69),Y69*Parámetros!$B$3,0)+IF(ISNUMBER(Z69),Z69*Parámetros!$B$4,0)+IF(ISNUMBER(AA69),AA69*Parámetros!$B$5,0)+IF(ISNUMBER(AB69),AB69*Parámetros!$B$6,0)+IF(ISNUMBER(AC69),AC69*Parámetros!$B$7,0)+IF(ISNUMBER(AD69),AD69*Parámetros!$B$8,0)+IF(ISNUMBER(AE69),AE69*Parámetros!$B$9,0)+IF(ISNUMBER(AF69),AF69*Parámetros!$B$10,0)+IF(ISNUMBER(AG69),AG69*Parámetros!$B$11,0))/(IF(ISNUMBER(X69),Parámetros!$B$2,0)+IF(ISNUMBER(Y69),Parámetros!$B$3,0)+IF(ISNUMBER(Z69),Parámetros!$B$4,0)+IF(ISNUMBER(AA69),Parámetros!$B$5,0)+IF(ISNUMBER(AB69),Parámetros!$B$6,0)+IF(ISNUMBER(AC69),Parámetros!$B$7,0)+IF(ISNUMBER(AD69),Parámetros!$B$8,0)+IF(ISNUMBER(AE69),Parámetros!$B$9,0)+IF(ISNUMBER(AF69),Parámetros!$B$10,0)+IF(ISNUMBER(AG69),Parámetros!$B$11,0)))</f>
        <v/>
      </c>
      <c r="AJ69" s="47" t="n">
        <f aca="false">IF(AND(ISNUMBER(Y69),N(Y69)&lt;60),69.9,IF(OR(AND(ISNUMBER(AE69),N(AE69)&lt;80),AND(ISNUMBER(AC69),N(AC69)&lt;50,N(O69)&gt;=2)),84.9,100))</f>
        <v>100</v>
      </c>
      <c r="AK69" s="47" t="str">
        <f aca="false">IF(AI69="","",MIN(AI69,AJ69))</f>
        <v/>
      </c>
      <c r="AL69" s="47" t="str">
        <f aca="false">IF($C69="","",IF(AK69="","Gris — menos de 3 fuentes",IF(AND(AK69&lt;Parámetros!$B$14,N69&lt;&gt;"",N(N69)&lt;Parámetros!$B$15,N(Y69)&gt;=60),"Gris — repetir observación",IF(AK69&gt;=Parámetros!$B$13,"Verde",IF(AK69&gt;=Parámetros!$B$14,"Amarillo","Rojo")))))</f>
        <v/>
      </c>
      <c r="AM69" s="47" t="str">
        <f aca="false">IF($C69="","",IF(AND(ISNUMBER(Y69),N(Y69)&lt;60),"Ejecución &lt; 60 %: rojo automático",IF(AND(ISNUMBER(AE69),N(AE69)&lt;80),"PIAR &lt; 80 %: máximo amarillo",IF(AND(ISNUMBER(AC69),N(AC69)&lt;50,N(O69)&gt;=2),"Observación &lt; 50: máximo amarillo",IF(AND(N69&lt;&gt;"",N(N69)&lt;Parámetros!$B$15),"κ &lt; 0,60: observación descartada, repetir","")))))</f>
        <v/>
      </c>
    </row>
    <row r="70" customFormat="false" ht="15" hidden="false" customHeight="fals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7" t="str">
        <f aca="false">IF(N(E70)&gt;0,MIN(100,F70/E70*100),"")</f>
        <v/>
      </c>
      <c r="Y70" s="47" t="str">
        <f aca="false">IF(N(G70)&gt;0,MIN(100,H70/G70*100),"")</f>
        <v/>
      </c>
      <c r="Z70" s="47" t="str">
        <f aca="false">IF(N(I70)&gt;0,MIN(100,J70/I70*100),"")</f>
        <v/>
      </c>
      <c r="AA70" s="47" t="str">
        <f aca="false">IF(K70="","",K70/24*100)</f>
        <v/>
      </c>
      <c r="AB70" s="47" t="str">
        <f aca="false">IF(L70="","",L70/3*100)</f>
        <v/>
      </c>
      <c r="AC70" s="47" t="str">
        <f aca="false">IF(OR(M70="",AND(N70&lt;&gt;"",N(N70)&lt;Parámetros!$B$15)),"",MAX(0,MIN(100,(M70-1)/4*100)))</f>
        <v/>
      </c>
      <c r="AD70" s="47" t="str">
        <f aca="false">IF(OR(P70="",N(Q70)=0),"",MAX(0,MIN(100,((Q70/(Q70+Parámetros!$B$16))*P70+(Parámetros!$B$16/(Q70+Parámetros!$B$16))*Parámetros!$B$17-0.1)/0.4*100)))</f>
        <v/>
      </c>
      <c r="AE70" s="47" t="str">
        <f aca="false">IF(N(R70)&gt;0,MIN(100,S70/R70*100),"")</f>
        <v/>
      </c>
      <c r="AF70" s="47" t="str">
        <f aca="false">IF(N(U70)&gt;0,MIN(100,T70/(U70*5)*100),"")</f>
        <v/>
      </c>
      <c r="AG70" s="47" t="str">
        <f aca="false">IF(OR(V70="",N(W70)&lt;10),"",(V70-1)/4*100)</f>
        <v/>
      </c>
      <c r="AH70" s="47" t="str">
        <f aca="false">IF($C70="","",COUNT(X70:AG70))</f>
        <v/>
      </c>
      <c r="AI70" s="47" t="str">
        <f aca="false">IF(OR($C70="",N(AH70)&lt;Parámetros!$B$18),"",(IF(ISNUMBER(X70),X70*Parámetros!$B$2,0)+IF(ISNUMBER(Y70),Y70*Parámetros!$B$3,0)+IF(ISNUMBER(Z70),Z70*Parámetros!$B$4,0)+IF(ISNUMBER(AA70),AA70*Parámetros!$B$5,0)+IF(ISNUMBER(AB70),AB70*Parámetros!$B$6,0)+IF(ISNUMBER(AC70),AC70*Parámetros!$B$7,0)+IF(ISNUMBER(AD70),AD70*Parámetros!$B$8,0)+IF(ISNUMBER(AE70),AE70*Parámetros!$B$9,0)+IF(ISNUMBER(AF70),AF70*Parámetros!$B$10,0)+IF(ISNUMBER(AG70),AG70*Parámetros!$B$11,0))/(IF(ISNUMBER(X70),Parámetros!$B$2,0)+IF(ISNUMBER(Y70),Parámetros!$B$3,0)+IF(ISNUMBER(Z70),Parámetros!$B$4,0)+IF(ISNUMBER(AA70),Parámetros!$B$5,0)+IF(ISNUMBER(AB70),Parámetros!$B$6,0)+IF(ISNUMBER(AC70),Parámetros!$B$7,0)+IF(ISNUMBER(AD70),Parámetros!$B$8,0)+IF(ISNUMBER(AE70),Parámetros!$B$9,0)+IF(ISNUMBER(AF70),Parámetros!$B$10,0)+IF(ISNUMBER(AG70),Parámetros!$B$11,0)))</f>
        <v/>
      </c>
      <c r="AJ70" s="47" t="n">
        <f aca="false">IF(AND(ISNUMBER(Y70),N(Y70)&lt;60),69.9,IF(OR(AND(ISNUMBER(AE70),N(AE70)&lt;80),AND(ISNUMBER(AC70),N(AC70)&lt;50,N(O70)&gt;=2)),84.9,100))</f>
        <v>100</v>
      </c>
      <c r="AK70" s="47" t="str">
        <f aca="false">IF(AI70="","",MIN(AI70,AJ70))</f>
        <v/>
      </c>
      <c r="AL70" s="47" t="str">
        <f aca="false">IF($C70="","",IF(AK70="","Gris — menos de 3 fuentes",IF(AND(AK70&lt;Parámetros!$B$14,N70&lt;&gt;"",N(N70)&lt;Parámetros!$B$15,N(Y70)&gt;=60),"Gris — repetir observación",IF(AK70&gt;=Parámetros!$B$13,"Verde",IF(AK70&gt;=Parámetros!$B$14,"Amarillo","Rojo")))))</f>
        <v/>
      </c>
      <c r="AM70" s="47" t="str">
        <f aca="false">IF($C70="","",IF(AND(ISNUMBER(Y70),N(Y70)&lt;60),"Ejecución &lt; 60 %: rojo automático",IF(AND(ISNUMBER(AE70),N(AE70)&lt;80),"PIAR &lt; 80 %: máximo amarillo",IF(AND(ISNUMBER(AC70),N(AC70)&lt;50,N(O70)&gt;=2),"Observación &lt; 50: máximo amarillo",IF(AND(N70&lt;&gt;"",N(N70)&lt;Parámetros!$B$15),"κ &lt; 0,60: observación descartada, repetir","")))))</f>
        <v/>
      </c>
    </row>
    <row r="71" customFormat="false" ht="15" hidden="false" customHeight="fals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7" t="str">
        <f aca="false">IF(N(E71)&gt;0,MIN(100,F71/E71*100),"")</f>
        <v/>
      </c>
      <c r="Y71" s="47" t="str">
        <f aca="false">IF(N(G71)&gt;0,MIN(100,H71/G71*100),"")</f>
        <v/>
      </c>
      <c r="Z71" s="47" t="str">
        <f aca="false">IF(N(I71)&gt;0,MIN(100,J71/I71*100),"")</f>
        <v/>
      </c>
      <c r="AA71" s="47" t="str">
        <f aca="false">IF(K71="","",K71/24*100)</f>
        <v/>
      </c>
      <c r="AB71" s="47" t="str">
        <f aca="false">IF(L71="","",L71/3*100)</f>
        <v/>
      </c>
      <c r="AC71" s="47" t="str">
        <f aca="false">IF(OR(M71="",AND(N71&lt;&gt;"",N(N71)&lt;Parámetros!$B$15)),"",MAX(0,MIN(100,(M71-1)/4*100)))</f>
        <v/>
      </c>
      <c r="AD71" s="47" t="str">
        <f aca="false">IF(OR(P71="",N(Q71)=0),"",MAX(0,MIN(100,((Q71/(Q71+Parámetros!$B$16))*P71+(Parámetros!$B$16/(Q71+Parámetros!$B$16))*Parámetros!$B$17-0.1)/0.4*100)))</f>
        <v/>
      </c>
      <c r="AE71" s="47" t="str">
        <f aca="false">IF(N(R71)&gt;0,MIN(100,S71/R71*100),"")</f>
        <v/>
      </c>
      <c r="AF71" s="47" t="str">
        <f aca="false">IF(N(U71)&gt;0,MIN(100,T71/(U71*5)*100),"")</f>
        <v/>
      </c>
      <c r="AG71" s="47" t="str">
        <f aca="false">IF(OR(V71="",N(W71)&lt;10),"",(V71-1)/4*100)</f>
        <v/>
      </c>
      <c r="AH71" s="47" t="str">
        <f aca="false">IF($C71="","",COUNT(X71:AG71))</f>
        <v/>
      </c>
      <c r="AI71" s="47" t="str">
        <f aca="false">IF(OR($C71="",N(AH71)&lt;Parámetros!$B$18),"",(IF(ISNUMBER(X71),X71*Parámetros!$B$2,0)+IF(ISNUMBER(Y71),Y71*Parámetros!$B$3,0)+IF(ISNUMBER(Z71),Z71*Parámetros!$B$4,0)+IF(ISNUMBER(AA71),AA71*Parámetros!$B$5,0)+IF(ISNUMBER(AB71),AB71*Parámetros!$B$6,0)+IF(ISNUMBER(AC71),AC71*Parámetros!$B$7,0)+IF(ISNUMBER(AD71),AD71*Parámetros!$B$8,0)+IF(ISNUMBER(AE71),AE71*Parámetros!$B$9,0)+IF(ISNUMBER(AF71),AF71*Parámetros!$B$10,0)+IF(ISNUMBER(AG71),AG71*Parámetros!$B$11,0))/(IF(ISNUMBER(X71),Parámetros!$B$2,0)+IF(ISNUMBER(Y71),Parámetros!$B$3,0)+IF(ISNUMBER(Z71),Parámetros!$B$4,0)+IF(ISNUMBER(AA71),Parámetros!$B$5,0)+IF(ISNUMBER(AB71),Parámetros!$B$6,0)+IF(ISNUMBER(AC71),Parámetros!$B$7,0)+IF(ISNUMBER(AD71),Parámetros!$B$8,0)+IF(ISNUMBER(AE71),Parámetros!$B$9,0)+IF(ISNUMBER(AF71),Parámetros!$B$10,0)+IF(ISNUMBER(AG71),Parámetros!$B$11,0)))</f>
        <v/>
      </c>
      <c r="AJ71" s="47" t="n">
        <f aca="false">IF(AND(ISNUMBER(Y71),N(Y71)&lt;60),69.9,IF(OR(AND(ISNUMBER(AE71),N(AE71)&lt;80),AND(ISNUMBER(AC71),N(AC71)&lt;50,N(O71)&gt;=2)),84.9,100))</f>
        <v>100</v>
      </c>
      <c r="AK71" s="47" t="str">
        <f aca="false">IF(AI71="","",MIN(AI71,AJ71))</f>
        <v/>
      </c>
      <c r="AL71" s="47" t="str">
        <f aca="false">IF($C71="","",IF(AK71="","Gris — menos de 3 fuentes",IF(AND(AK71&lt;Parámetros!$B$14,N71&lt;&gt;"",N(N71)&lt;Parámetros!$B$15,N(Y71)&gt;=60),"Gris — repetir observación",IF(AK71&gt;=Parámetros!$B$13,"Verde",IF(AK71&gt;=Parámetros!$B$14,"Amarillo","Rojo")))))</f>
        <v/>
      </c>
      <c r="AM71" s="47" t="str">
        <f aca="false">IF($C71="","",IF(AND(ISNUMBER(Y71),N(Y71)&lt;60),"Ejecución &lt; 60 %: rojo automático",IF(AND(ISNUMBER(AE71),N(AE71)&lt;80),"PIAR &lt; 80 %: máximo amarillo",IF(AND(ISNUMBER(AC71),N(AC71)&lt;50,N(O71)&gt;=2),"Observación &lt; 50: máximo amarillo",IF(AND(N71&lt;&gt;"",N(N71)&lt;Parámetros!$B$15),"κ &lt; 0,60: observación descartada, repetir","")))))</f>
        <v/>
      </c>
    </row>
    <row r="72" customFormat="false" ht="15" hidden="false" customHeight="fals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7" t="str">
        <f aca="false">IF(N(E72)&gt;0,MIN(100,F72/E72*100),"")</f>
        <v/>
      </c>
      <c r="Y72" s="47" t="str">
        <f aca="false">IF(N(G72)&gt;0,MIN(100,H72/G72*100),"")</f>
        <v/>
      </c>
      <c r="Z72" s="47" t="str">
        <f aca="false">IF(N(I72)&gt;0,MIN(100,J72/I72*100),"")</f>
        <v/>
      </c>
      <c r="AA72" s="47" t="str">
        <f aca="false">IF(K72="","",K72/24*100)</f>
        <v/>
      </c>
      <c r="AB72" s="47" t="str">
        <f aca="false">IF(L72="","",L72/3*100)</f>
        <v/>
      </c>
      <c r="AC72" s="47" t="str">
        <f aca="false">IF(OR(M72="",AND(N72&lt;&gt;"",N(N72)&lt;Parámetros!$B$15)),"",MAX(0,MIN(100,(M72-1)/4*100)))</f>
        <v/>
      </c>
      <c r="AD72" s="47" t="str">
        <f aca="false">IF(OR(P72="",N(Q72)=0),"",MAX(0,MIN(100,((Q72/(Q72+Parámetros!$B$16))*P72+(Parámetros!$B$16/(Q72+Parámetros!$B$16))*Parámetros!$B$17-0.1)/0.4*100)))</f>
        <v/>
      </c>
      <c r="AE72" s="47" t="str">
        <f aca="false">IF(N(R72)&gt;0,MIN(100,S72/R72*100),"")</f>
        <v/>
      </c>
      <c r="AF72" s="47" t="str">
        <f aca="false">IF(N(U72)&gt;0,MIN(100,T72/(U72*5)*100),"")</f>
        <v/>
      </c>
      <c r="AG72" s="47" t="str">
        <f aca="false">IF(OR(V72="",N(W72)&lt;10),"",(V72-1)/4*100)</f>
        <v/>
      </c>
      <c r="AH72" s="47" t="str">
        <f aca="false">IF($C72="","",COUNT(X72:AG72))</f>
        <v/>
      </c>
      <c r="AI72" s="47" t="str">
        <f aca="false">IF(OR($C72="",N(AH72)&lt;Parámetros!$B$18),"",(IF(ISNUMBER(X72),X72*Parámetros!$B$2,0)+IF(ISNUMBER(Y72),Y72*Parámetros!$B$3,0)+IF(ISNUMBER(Z72),Z72*Parámetros!$B$4,0)+IF(ISNUMBER(AA72),AA72*Parámetros!$B$5,0)+IF(ISNUMBER(AB72),AB72*Parámetros!$B$6,0)+IF(ISNUMBER(AC72),AC72*Parámetros!$B$7,0)+IF(ISNUMBER(AD72),AD72*Parámetros!$B$8,0)+IF(ISNUMBER(AE72),AE72*Parámetros!$B$9,0)+IF(ISNUMBER(AF72),AF72*Parámetros!$B$10,0)+IF(ISNUMBER(AG72),AG72*Parámetros!$B$11,0))/(IF(ISNUMBER(X72),Parámetros!$B$2,0)+IF(ISNUMBER(Y72),Parámetros!$B$3,0)+IF(ISNUMBER(Z72),Parámetros!$B$4,0)+IF(ISNUMBER(AA72),Parámetros!$B$5,0)+IF(ISNUMBER(AB72),Parámetros!$B$6,0)+IF(ISNUMBER(AC72),Parámetros!$B$7,0)+IF(ISNUMBER(AD72),Parámetros!$B$8,0)+IF(ISNUMBER(AE72),Parámetros!$B$9,0)+IF(ISNUMBER(AF72),Parámetros!$B$10,0)+IF(ISNUMBER(AG72),Parámetros!$B$11,0)))</f>
        <v/>
      </c>
      <c r="AJ72" s="47" t="n">
        <f aca="false">IF(AND(ISNUMBER(Y72),N(Y72)&lt;60),69.9,IF(OR(AND(ISNUMBER(AE72),N(AE72)&lt;80),AND(ISNUMBER(AC72),N(AC72)&lt;50,N(O72)&gt;=2)),84.9,100))</f>
        <v>100</v>
      </c>
      <c r="AK72" s="47" t="str">
        <f aca="false">IF(AI72="","",MIN(AI72,AJ72))</f>
        <v/>
      </c>
      <c r="AL72" s="47" t="str">
        <f aca="false">IF($C72="","",IF(AK72="","Gris — menos de 3 fuentes",IF(AND(AK72&lt;Parámetros!$B$14,N72&lt;&gt;"",N(N72)&lt;Parámetros!$B$15,N(Y72)&gt;=60),"Gris — repetir observación",IF(AK72&gt;=Parámetros!$B$13,"Verde",IF(AK72&gt;=Parámetros!$B$14,"Amarillo","Rojo")))))</f>
        <v/>
      </c>
      <c r="AM72" s="47" t="str">
        <f aca="false">IF($C72="","",IF(AND(ISNUMBER(Y72),N(Y72)&lt;60),"Ejecución &lt; 60 %: rojo automático",IF(AND(ISNUMBER(AE72),N(AE72)&lt;80),"PIAR &lt; 80 %: máximo amarillo",IF(AND(ISNUMBER(AC72),N(AC72)&lt;50,N(O72)&gt;=2),"Observación &lt; 50: máximo amarillo",IF(AND(N72&lt;&gt;"",N(N72)&lt;Parámetros!$B$15),"κ &lt; 0,60: observación descartada, repetir","")))))</f>
        <v/>
      </c>
    </row>
    <row r="73" customFormat="false" ht="15" hidden="false" customHeight="fals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7" t="str">
        <f aca="false">IF(N(E73)&gt;0,MIN(100,F73/E73*100),"")</f>
        <v/>
      </c>
      <c r="Y73" s="47" t="str">
        <f aca="false">IF(N(G73)&gt;0,MIN(100,H73/G73*100),"")</f>
        <v/>
      </c>
      <c r="Z73" s="47" t="str">
        <f aca="false">IF(N(I73)&gt;0,MIN(100,J73/I73*100),"")</f>
        <v/>
      </c>
      <c r="AA73" s="47" t="str">
        <f aca="false">IF(K73="","",K73/24*100)</f>
        <v/>
      </c>
      <c r="AB73" s="47" t="str">
        <f aca="false">IF(L73="","",L73/3*100)</f>
        <v/>
      </c>
      <c r="AC73" s="47" t="str">
        <f aca="false">IF(OR(M73="",AND(N73&lt;&gt;"",N(N73)&lt;Parámetros!$B$15)),"",MAX(0,MIN(100,(M73-1)/4*100)))</f>
        <v/>
      </c>
      <c r="AD73" s="47" t="str">
        <f aca="false">IF(OR(P73="",N(Q73)=0),"",MAX(0,MIN(100,((Q73/(Q73+Parámetros!$B$16))*P73+(Parámetros!$B$16/(Q73+Parámetros!$B$16))*Parámetros!$B$17-0.1)/0.4*100)))</f>
        <v/>
      </c>
      <c r="AE73" s="47" t="str">
        <f aca="false">IF(N(R73)&gt;0,MIN(100,S73/R73*100),"")</f>
        <v/>
      </c>
      <c r="AF73" s="47" t="str">
        <f aca="false">IF(N(U73)&gt;0,MIN(100,T73/(U73*5)*100),"")</f>
        <v/>
      </c>
      <c r="AG73" s="47" t="str">
        <f aca="false">IF(OR(V73="",N(W73)&lt;10),"",(V73-1)/4*100)</f>
        <v/>
      </c>
      <c r="AH73" s="47" t="str">
        <f aca="false">IF($C73="","",COUNT(X73:AG73))</f>
        <v/>
      </c>
      <c r="AI73" s="47" t="str">
        <f aca="false">IF(OR($C73="",N(AH73)&lt;Parámetros!$B$18),"",(IF(ISNUMBER(X73),X73*Parámetros!$B$2,0)+IF(ISNUMBER(Y73),Y73*Parámetros!$B$3,0)+IF(ISNUMBER(Z73),Z73*Parámetros!$B$4,0)+IF(ISNUMBER(AA73),AA73*Parámetros!$B$5,0)+IF(ISNUMBER(AB73),AB73*Parámetros!$B$6,0)+IF(ISNUMBER(AC73),AC73*Parámetros!$B$7,0)+IF(ISNUMBER(AD73),AD73*Parámetros!$B$8,0)+IF(ISNUMBER(AE73),AE73*Parámetros!$B$9,0)+IF(ISNUMBER(AF73),AF73*Parámetros!$B$10,0)+IF(ISNUMBER(AG73),AG73*Parámetros!$B$11,0))/(IF(ISNUMBER(X73),Parámetros!$B$2,0)+IF(ISNUMBER(Y73),Parámetros!$B$3,0)+IF(ISNUMBER(Z73),Parámetros!$B$4,0)+IF(ISNUMBER(AA73),Parámetros!$B$5,0)+IF(ISNUMBER(AB73),Parámetros!$B$6,0)+IF(ISNUMBER(AC73),Parámetros!$B$7,0)+IF(ISNUMBER(AD73),Parámetros!$B$8,0)+IF(ISNUMBER(AE73),Parámetros!$B$9,0)+IF(ISNUMBER(AF73),Parámetros!$B$10,0)+IF(ISNUMBER(AG73),Parámetros!$B$11,0)))</f>
        <v/>
      </c>
      <c r="AJ73" s="47" t="n">
        <f aca="false">IF(AND(ISNUMBER(Y73),N(Y73)&lt;60),69.9,IF(OR(AND(ISNUMBER(AE73),N(AE73)&lt;80),AND(ISNUMBER(AC73),N(AC73)&lt;50,N(O73)&gt;=2)),84.9,100))</f>
        <v>100</v>
      </c>
      <c r="AK73" s="47" t="str">
        <f aca="false">IF(AI73="","",MIN(AI73,AJ73))</f>
        <v/>
      </c>
      <c r="AL73" s="47" t="str">
        <f aca="false">IF($C73="","",IF(AK73="","Gris — menos de 3 fuentes",IF(AND(AK73&lt;Parámetros!$B$14,N73&lt;&gt;"",N(N73)&lt;Parámetros!$B$15,N(Y73)&gt;=60),"Gris — repetir observación",IF(AK73&gt;=Parámetros!$B$13,"Verde",IF(AK73&gt;=Parámetros!$B$14,"Amarillo","Rojo")))))</f>
        <v/>
      </c>
      <c r="AM73" s="47" t="str">
        <f aca="false">IF($C73="","",IF(AND(ISNUMBER(Y73),N(Y73)&lt;60),"Ejecución &lt; 60 %: rojo automático",IF(AND(ISNUMBER(AE73),N(AE73)&lt;80),"PIAR &lt; 80 %: máximo amarillo",IF(AND(ISNUMBER(AC73),N(AC73)&lt;50,N(O73)&gt;=2),"Observación &lt; 50: máximo amarillo",IF(AND(N73&lt;&gt;"",N(N73)&lt;Parámetros!$B$15),"κ &lt; 0,60: observación descartada, repetir","")))))</f>
        <v/>
      </c>
    </row>
    <row r="74" customFormat="false" ht="15" hidden="false" customHeight="fals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7" t="str">
        <f aca="false">IF(N(E74)&gt;0,MIN(100,F74/E74*100),"")</f>
        <v/>
      </c>
      <c r="Y74" s="47" t="str">
        <f aca="false">IF(N(G74)&gt;0,MIN(100,H74/G74*100),"")</f>
        <v/>
      </c>
      <c r="Z74" s="47" t="str">
        <f aca="false">IF(N(I74)&gt;0,MIN(100,J74/I74*100),"")</f>
        <v/>
      </c>
      <c r="AA74" s="47" t="str">
        <f aca="false">IF(K74="","",K74/24*100)</f>
        <v/>
      </c>
      <c r="AB74" s="47" t="str">
        <f aca="false">IF(L74="","",L74/3*100)</f>
        <v/>
      </c>
      <c r="AC74" s="47" t="str">
        <f aca="false">IF(OR(M74="",AND(N74&lt;&gt;"",N(N74)&lt;Parámetros!$B$15)),"",MAX(0,MIN(100,(M74-1)/4*100)))</f>
        <v/>
      </c>
      <c r="AD74" s="47" t="str">
        <f aca="false">IF(OR(P74="",N(Q74)=0),"",MAX(0,MIN(100,((Q74/(Q74+Parámetros!$B$16))*P74+(Parámetros!$B$16/(Q74+Parámetros!$B$16))*Parámetros!$B$17-0.1)/0.4*100)))</f>
        <v/>
      </c>
      <c r="AE74" s="47" t="str">
        <f aca="false">IF(N(R74)&gt;0,MIN(100,S74/R74*100),"")</f>
        <v/>
      </c>
      <c r="AF74" s="47" t="str">
        <f aca="false">IF(N(U74)&gt;0,MIN(100,T74/(U74*5)*100),"")</f>
        <v/>
      </c>
      <c r="AG74" s="47" t="str">
        <f aca="false">IF(OR(V74="",N(W74)&lt;10),"",(V74-1)/4*100)</f>
        <v/>
      </c>
      <c r="AH74" s="47" t="str">
        <f aca="false">IF($C74="","",COUNT(X74:AG74))</f>
        <v/>
      </c>
      <c r="AI74" s="47" t="str">
        <f aca="false">IF(OR($C74="",N(AH74)&lt;Parámetros!$B$18),"",(IF(ISNUMBER(X74),X74*Parámetros!$B$2,0)+IF(ISNUMBER(Y74),Y74*Parámetros!$B$3,0)+IF(ISNUMBER(Z74),Z74*Parámetros!$B$4,0)+IF(ISNUMBER(AA74),AA74*Parámetros!$B$5,0)+IF(ISNUMBER(AB74),AB74*Parámetros!$B$6,0)+IF(ISNUMBER(AC74),AC74*Parámetros!$B$7,0)+IF(ISNUMBER(AD74),AD74*Parámetros!$B$8,0)+IF(ISNUMBER(AE74),AE74*Parámetros!$B$9,0)+IF(ISNUMBER(AF74),AF74*Parámetros!$B$10,0)+IF(ISNUMBER(AG74),AG74*Parámetros!$B$11,0))/(IF(ISNUMBER(X74),Parámetros!$B$2,0)+IF(ISNUMBER(Y74),Parámetros!$B$3,0)+IF(ISNUMBER(Z74),Parámetros!$B$4,0)+IF(ISNUMBER(AA74),Parámetros!$B$5,0)+IF(ISNUMBER(AB74),Parámetros!$B$6,0)+IF(ISNUMBER(AC74),Parámetros!$B$7,0)+IF(ISNUMBER(AD74),Parámetros!$B$8,0)+IF(ISNUMBER(AE74),Parámetros!$B$9,0)+IF(ISNUMBER(AF74),Parámetros!$B$10,0)+IF(ISNUMBER(AG74),Parámetros!$B$11,0)))</f>
        <v/>
      </c>
      <c r="AJ74" s="47" t="n">
        <f aca="false">IF(AND(ISNUMBER(Y74),N(Y74)&lt;60),69.9,IF(OR(AND(ISNUMBER(AE74),N(AE74)&lt;80),AND(ISNUMBER(AC74),N(AC74)&lt;50,N(O74)&gt;=2)),84.9,100))</f>
        <v>100</v>
      </c>
      <c r="AK74" s="47" t="str">
        <f aca="false">IF(AI74="","",MIN(AI74,AJ74))</f>
        <v/>
      </c>
      <c r="AL74" s="47" t="str">
        <f aca="false">IF($C74="","",IF(AK74="","Gris — menos de 3 fuentes",IF(AND(AK74&lt;Parámetros!$B$14,N74&lt;&gt;"",N(N74)&lt;Parámetros!$B$15,N(Y74)&gt;=60),"Gris — repetir observación",IF(AK74&gt;=Parámetros!$B$13,"Verde",IF(AK74&gt;=Parámetros!$B$14,"Amarillo","Rojo")))))</f>
        <v/>
      </c>
      <c r="AM74" s="47" t="str">
        <f aca="false">IF($C74="","",IF(AND(ISNUMBER(Y74),N(Y74)&lt;60),"Ejecución &lt; 60 %: rojo automático",IF(AND(ISNUMBER(AE74),N(AE74)&lt;80),"PIAR &lt; 80 %: máximo amarillo",IF(AND(ISNUMBER(AC74),N(AC74)&lt;50,N(O74)&gt;=2),"Observación &lt; 50: máximo amarillo",IF(AND(N74&lt;&gt;"",N(N74)&lt;Parámetros!$B$15),"κ &lt; 0,60: observación descartada, repetir","")))))</f>
        <v/>
      </c>
    </row>
    <row r="75" customFormat="false" ht="15" hidden="false" customHeight="fals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7" t="str">
        <f aca="false">IF(N(E75)&gt;0,MIN(100,F75/E75*100),"")</f>
        <v/>
      </c>
      <c r="Y75" s="47" t="str">
        <f aca="false">IF(N(G75)&gt;0,MIN(100,H75/G75*100),"")</f>
        <v/>
      </c>
      <c r="Z75" s="47" t="str">
        <f aca="false">IF(N(I75)&gt;0,MIN(100,J75/I75*100),"")</f>
        <v/>
      </c>
      <c r="AA75" s="47" t="str">
        <f aca="false">IF(K75="","",K75/24*100)</f>
        <v/>
      </c>
      <c r="AB75" s="47" t="str">
        <f aca="false">IF(L75="","",L75/3*100)</f>
        <v/>
      </c>
      <c r="AC75" s="47" t="str">
        <f aca="false">IF(OR(M75="",AND(N75&lt;&gt;"",N(N75)&lt;Parámetros!$B$15)),"",MAX(0,MIN(100,(M75-1)/4*100)))</f>
        <v/>
      </c>
      <c r="AD75" s="47" t="str">
        <f aca="false">IF(OR(P75="",N(Q75)=0),"",MAX(0,MIN(100,((Q75/(Q75+Parámetros!$B$16))*P75+(Parámetros!$B$16/(Q75+Parámetros!$B$16))*Parámetros!$B$17-0.1)/0.4*100)))</f>
        <v/>
      </c>
      <c r="AE75" s="47" t="str">
        <f aca="false">IF(N(R75)&gt;0,MIN(100,S75/R75*100),"")</f>
        <v/>
      </c>
      <c r="AF75" s="47" t="str">
        <f aca="false">IF(N(U75)&gt;0,MIN(100,T75/(U75*5)*100),"")</f>
        <v/>
      </c>
      <c r="AG75" s="47" t="str">
        <f aca="false">IF(OR(V75="",N(W75)&lt;10),"",(V75-1)/4*100)</f>
        <v/>
      </c>
      <c r="AH75" s="47" t="str">
        <f aca="false">IF($C75="","",COUNT(X75:AG75))</f>
        <v/>
      </c>
      <c r="AI75" s="47" t="str">
        <f aca="false">IF(OR($C75="",N(AH75)&lt;Parámetros!$B$18),"",(IF(ISNUMBER(X75),X75*Parámetros!$B$2,0)+IF(ISNUMBER(Y75),Y75*Parámetros!$B$3,0)+IF(ISNUMBER(Z75),Z75*Parámetros!$B$4,0)+IF(ISNUMBER(AA75),AA75*Parámetros!$B$5,0)+IF(ISNUMBER(AB75),AB75*Parámetros!$B$6,0)+IF(ISNUMBER(AC75),AC75*Parámetros!$B$7,0)+IF(ISNUMBER(AD75),AD75*Parámetros!$B$8,0)+IF(ISNUMBER(AE75),AE75*Parámetros!$B$9,0)+IF(ISNUMBER(AF75),AF75*Parámetros!$B$10,0)+IF(ISNUMBER(AG75),AG75*Parámetros!$B$11,0))/(IF(ISNUMBER(X75),Parámetros!$B$2,0)+IF(ISNUMBER(Y75),Parámetros!$B$3,0)+IF(ISNUMBER(Z75),Parámetros!$B$4,0)+IF(ISNUMBER(AA75),Parámetros!$B$5,0)+IF(ISNUMBER(AB75),Parámetros!$B$6,0)+IF(ISNUMBER(AC75),Parámetros!$B$7,0)+IF(ISNUMBER(AD75),Parámetros!$B$8,0)+IF(ISNUMBER(AE75),Parámetros!$B$9,0)+IF(ISNUMBER(AF75),Parámetros!$B$10,0)+IF(ISNUMBER(AG75),Parámetros!$B$11,0)))</f>
        <v/>
      </c>
      <c r="AJ75" s="47" t="n">
        <f aca="false">IF(AND(ISNUMBER(Y75),N(Y75)&lt;60),69.9,IF(OR(AND(ISNUMBER(AE75),N(AE75)&lt;80),AND(ISNUMBER(AC75),N(AC75)&lt;50,N(O75)&gt;=2)),84.9,100))</f>
        <v>100</v>
      </c>
      <c r="AK75" s="47" t="str">
        <f aca="false">IF(AI75="","",MIN(AI75,AJ75))</f>
        <v/>
      </c>
      <c r="AL75" s="47" t="str">
        <f aca="false">IF($C75="","",IF(AK75="","Gris — menos de 3 fuentes",IF(AND(AK75&lt;Parámetros!$B$14,N75&lt;&gt;"",N(N75)&lt;Parámetros!$B$15,N(Y75)&gt;=60),"Gris — repetir observación",IF(AK75&gt;=Parámetros!$B$13,"Verde",IF(AK75&gt;=Parámetros!$B$14,"Amarillo","Rojo")))))</f>
        <v/>
      </c>
      <c r="AM75" s="47" t="str">
        <f aca="false">IF($C75="","",IF(AND(ISNUMBER(Y75),N(Y75)&lt;60),"Ejecución &lt; 60 %: rojo automático",IF(AND(ISNUMBER(AE75),N(AE75)&lt;80),"PIAR &lt; 80 %: máximo amarillo",IF(AND(ISNUMBER(AC75),N(AC75)&lt;50,N(O75)&gt;=2),"Observación &lt; 50: máximo amarillo",IF(AND(N75&lt;&gt;"",N(N75)&lt;Parámetros!$B$15),"κ &lt; 0,60: observación descartada, repetir","")))))</f>
        <v/>
      </c>
    </row>
    <row r="76" customFormat="false" ht="15" hidden="false" customHeight="fals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7" t="str">
        <f aca="false">IF(N(E76)&gt;0,MIN(100,F76/E76*100),"")</f>
        <v/>
      </c>
      <c r="Y76" s="47" t="str">
        <f aca="false">IF(N(G76)&gt;0,MIN(100,H76/G76*100),"")</f>
        <v/>
      </c>
      <c r="Z76" s="47" t="str">
        <f aca="false">IF(N(I76)&gt;0,MIN(100,J76/I76*100),"")</f>
        <v/>
      </c>
      <c r="AA76" s="47" t="str">
        <f aca="false">IF(K76="","",K76/24*100)</f>
        <v/>
      </c>
      <c r="AB76" s="47" t="str">
        <f aca="false">IF(L76="","",L76/3*100)</f>
        <v/>
      </c>
      <c r="AC76" s="47" t="str">
        <f aca="false">IF(OR(M76="",AND(N76&lt;&gt;"",N(N76)&lt;Parámetros!$B$15)),"",MAX(0,MIN(100,(M76-1)/4*100)))</f>
        <v/>
      </c>
      <c r="AD76" s="47" t="str">
        <f aca="false">IF(OR(P76="",N(Q76)=0),"",MAX(0,MIN(100,((Q76/(Q76+Parámetros!$B$16))*P76+(Parámetros!$B$16/(Q76+Parámetros!$B$16))*Parámetros!$B$17-0.1)/0.4*100)))</f>
        <v/>
      </c>
      <c r="AE76" s="47" t="str">
        <f aca="false">IF(N(R76)&gt;0,MIN(100,S76/R76*100),"")</f>
        <v/>
      </c>
      <c r="AF76" s="47" t="str">
        <f aca="false">IF(N(U76)&gt;0,MIN(100,T76/(U76*5)*100),"")</f>
        <v/>
      </c>
      <c r="AG76" s="47" t="str">
        <f aca="false">IF(OR(V76="",N(W76)&lt;10),"",(V76-1)/4*100)</f>
        <v/>
      </c>
      <c r="AH76" s="47" t="str">
        <f aca="false">IF($C76="","",COUNT(X76:AG76))</f>
        <v/>
      </c>
      <c r="AI76" s="47" t="str">
        <f aca="false">IF(OR($C76="",N(AH76)&lt;Parámetros!$B$18),"",(IF(ISNUMBER(X76),X76*Parámetros!$B$2,0)+IF(ISNUMBER(Y76),Y76*Parámetros!$B$3,0)+IF(ISNUMBER(Z76),Z76*Parámetros!$B$4,0)+IF(ISNUMBER(AA76),AA76*Parámetros!$B$5,0)+IF(ISNUMBER(AB76),AB76*Parámetros!$B$6,0)+IF(ISNUMBER(AC76),AC76*Parámetros!$B$7,0)+IF(ISNUMBER(AD76),AD76*Parámetros!$B$8,0)+IF(ISNUMBER(AE76),AE76*Parámetros!$B$9,0)+IF(ISNUMBER(AF76),AF76*Parámetros!$B$10,0)+IF(ISNUMBER(AG76),AG76*Parámetros!$B$11,0))/(IF(ISNUMBER(X76),Parámetros!$B$2,0)+IF(ISNUMBER(Y76),Parámetros!$B$3,0)+IF(ISNUMBER(Z76),Parámetros!$B$4,0)+IF(ISNUMBER(AA76),Parámetros!$B$5,0)+IF(ISNUMBER(AB76),Parámetros!$B$6,0)+IF(ISNUMBER(AC76),Parámetros!$B$7,0)+IF(ISNUMBER(AD76),Parámetros!$B$8,0)+IF(ISNUMBER(AE76),Parámetros!$B$9,0)+IF(ISNUMBER(AF76),Parámetros!$B$10,0)+IF(ISNUMBER(AG76),Parámetros!$B$11,0)))</f>
        <v/>
      </c>
      <c r="AJ76" s="47" t="n">
        <f aca="false">IF(AND(ISNUMBER(Y76),N(Y76)&lt;60),69.9,IF(OR(AND(ISNUMBER(AE76),N(AE76)&lt;80),AND(ISNUMBER(AC76),N(AC76)&lt;50,N(O76)&gt;=2)),84.9,100))</f>
        <v>100</v>
      </c>
      <c r="AK76" s="47" t="str">
        <f aca="false">IF(AI76="","",MIN(AI76,AJ76))</f>
        <v/>
      </c>
      <c r="AL76" s="47" t="str">
        <f aca="false">IF($C76="","",IF(AK76="","Gris — menos de 3 fuentes",IF(AND(AK76&lt;Parámetros!$B$14,N76&lt;&gt;"",N(N76)&lt;Parámetros!$B$15,N(Y76)&gt;=60),"Gris — repetir observación",IF(AK76&gt;=Parámetros!$B$13,"Verde",IF(AK76&gt;=Parámetros!$B$14,"Amarillo","Rojo")))))</f>
        <v/>
      </c>
      <c r="AM76" s="47" t="str">
        <f aca="false">IF($C76="","",IF(AND(ISNUMBER(Y76),N(Y76)&lt;60),"Ejecución &lt; 60 %: rojo automático",IF(AND(ISNUMBER(AE76),N(AE76)&lt;80),"PIAR &lt; 80 %: máximo amarillo",IF(AND(ISNUMBER(AC76),N(AC76)&lt;50,N(O76)&gt;=2),"Observación &lt; 50: máximo amarillo",IF(AND(N76&lt;&gt;"",N(N76)&lt;Parámetros!$B$15),"κ &lt; 0,60: observación descartada, repetir","")))))</f>
        <v/>
      </c>
    </row>
    <row r="77" customFormat="false" ht="15" hidden="false" customHeight="fals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7" t="str">
        <f aca="false">IF(N(E77)&gt;0,MIN(100,F77/E77*100),"")</f>
        <v/>
      </c>
      <c r="Y77" s="47" t="str">
        <f aca="false">IF(N(G77)&gt;0,MIN(100,H77/G77*100),"")</f>
        <v/>
      </c>
      <c r="Z77" s="47" t="str">
        <f aca="false">IF(N(I77)&gt;0,MIN(100,J77/I77*100),"")</f>
        <v/>
      </c>
      <c r="AA77" s="47" t="str">
        <f aca="false">IF(K77="","",K77/24*100)</f>
        <v/>
      </c>
      <c r="AB77" s="47" t="str">
        <f aca="false">IF(L77="","",L77/3*100)</f>
        <v/>
      </c>
      <c r="AC77" s="47" t="str">
        <f aca="false">IF(OR(M77="",AND(N77&lt;&gt;"",N(N77)&lt;Parámetros!$B$15)),"",MAX(0,MIN(100,(M77-1)/4*100)))</f>
        <v/>
      </c>
      <c r="AD77" s="47" t="str">
        <f aca="false">IF(OR(P77="",N(Q77)=0),"",MAX(0,MIN(100,((Q77/(Q77+Parámetros!$B$16))*P77+(Parámetros!$B$16/(Q77+Parámetros!$B$16))*Parámetros!$B$17-0.1)/0.4*100)))</f>
        <v/>
      </c>
      <c r="AE77" s="47" t="str">
        <f aca="false">IF(N(R77)&gt;0,MIN(100,S77/R77*100),"")</f>
        <v/>
      </c>
      <c r="AF77" s="47" t="str">
        <f aca="false">IF(N(U77)&gt;0,MIN(100,T77/(U77*5)*100),"")</f>
        <v/>
      </c>
      <c r="AG77" s="47" t="str">
        <f aca="false">IF(OR(V77="",N(W77)&lt;10),"",(V77-1)/4*100)</f>
        <v/>
      </c>
      <c r="AH77" s="47" t="str">
        <f aca="false">IF($C77="","",COUNT(X77:AG77))</f>
        <v/>
      </c>
      <c r="AI77" s="47" t="str">
        <f aca="false">IF(OR($C77="",N(AH77)&lt;Parámetros!$B$18),"",(IF(ISNUMBER(X77),X77*Parámetros!$B$2,0)+IF(ISNUMBER(Y77),Y77*Parámetros!$B$3,0)+IF(ISNUMBER(Z77),Z77*Parámetros!$B$4,0)+IF(ISNUMBER(AA77),AA77*Parámetros!$B$5,0)+IF(ISNUMBER(AB77),AB77*Parámetros!$B$6,0)+IF(ISNUMBER(AC77),AC77*Parámetros!$B$7,0)+IF(ISNUMBER(AD77),AD77*Parámetros!$B$8,0)+IF(ISNUMBER(AE77),AE77*Parámetros!$B$9,0)+IF(ISNUMBER(AF77),AF77*Parámetros!$B$10,0)+IF(ISNUMBER(AG77),AG77*Parámetros!$B$11,0))/(IF(ISNUMBER(X77),Parámetros!$B$2,0)+IF(ISNUMBER(Y77),Parámetros!$B$3,0)+IF(ISNUMBER(Z77),Parámetros!$B$4,0)+IF(ISNUMBER(AA77),Parámetros!$B$5,0)+IF(ISNUMBER(AB77),Parámetros!$B$6,0)+IF(ISNUMBER(AC77),Parámetros!$B$7,0)+IF(ISNUMBER(AD77),Parámetros!$B$8,0)+IF(ISNUMBER(AE77),Parámetros!$B$9,0)+IF(ISNUMBER(AF77),Parámetros!$B$10,0)+IF(ISNUMBER(AG77),Parámetros!$B$11,0)))</f>
        <v/>
      </c>
      <c r="AJ77" s="47" t="n">
        <f aca="false">IF(AND(ISNUMBER(Y77),N(Y77)&lt;60),69.9,IF(OR(AND(ISNUMBER(AE77),N(AE77)&lt;80),AND(ISNUMBER(AC77),N(AC77)&lt;50,N(O77)&gt;=2)),84.9,100))</f>
        <v>100</v>
      </c>
      <c r="AK77" s="47" t="str">
        <f aca="false">IF(AI77="","",MIN(AI77,AJ77))</f>
        <v/>
      </c>
      <c r="AL77" s="47" t="str">
        <f aca="false">IF($C77="","",IF(AK77="","Gris — menos de 3 fuentes",IF(AND(AK77&lt;Parámetros!$B$14,N77&lt;&gt;"",N(N77)&lt;Parámetros!$B$15,N(Y77)&gt;=60),"Gris — repetir observación",IF(AK77&gt;=Parámetros!$B$13,"Verde",IF(AK77&gt;=Parámetros!$B$14,"Amarillo","Rojo")))))</f>
        <v/>
      </c>
      <c r="AM77" s="47" t="str">
        <f aca="false">IF($C77="","",IF(AND(ISNUMBER(Y77),N(Y77)&lt;60),"Ejecución &lt; 60 %: rojo automático",IF(AND(ISNUMBER(AE77),N(AE77)&lt;80),"PIAR &lt; 80 %: máximo amarillo",IF(AND(ISNUMBER(AC77),N(AC77)&lt;50,N(O77)&gt;=2),"Observación &lt; 50: máximo amarillo",IF(AND(N77&lt;&gt;"",N(N77)&lt;Parámetros!$B$15),"κ &lt; 0,60: observación descartada, repetir","")))))</f>
        <v/>
      </c>
    </row>
    <row r="78" customFormat="false" ht="15" hidden="false" customHeight="fals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7" t="str">
        <f aca="false">IF(N(E78)&gt;0,MIN(100,F78/E78*100),"")</f>
        <v/>
      </c>
      <c r="Y78" s="47" t="str">
        <f aca="false">IF(N(G78)&gt;0,MIN(100,H78/G78*100),"")</f>
        <v/>
      </c>
      <c r="Z78" s="47" t="str">
        <f aca="false">IF(N(I78)&gt;0,MIN(100,J78/I78*100),"")</f>
        <v/>
      </c>
      <c r="AA78" s="47" t="str">
        <f aca="false">IF(K78="","",K78/24*100)</f>
        <v/>
      </c>
      <c r="AB78" s="47" t="str">
        <f aca="false">IF(L78="","",L78/3*100)</f>
        <v/>
      </c>
      <c r="AC78" s="47" t="str">
        <f aca="false">IF(OR(M78="",AND(N78&lt;&gt;"",N(N78)&lt;Parámetros!$B$15)),"",MAX(0,MIN(100,(M78-1)/4*100)))</f>
        <v/>
      </c>
      <c r="AD78" s="47" t="str">
        <f aca="false">IF(OR(P78="",N(Q78)=0),"",MAX(0,MIN(100,((Q78/(Q78+Parámetros!$B$16))*P78+(Parámetros!$B$16/(Q78+Parámetros!$B$16))*Parámetros!$B$17-0.1)/0.4*100)))</f>
        <v/>
      </c>
      <c r="AE78" s="47" t="str">
        <f aca="false">IF(N(R78)&gt;0,MIN(100,S78/R78*100),"")</f>
        <v/>
      </c>
      <c r="AF78" s="47" t="str">
        <f aca="false">IF(N(U78)&gt;0,MIN(100,T78/(U78*5)*100),"")</f>
        <v/>
      </c>
      <c r="AG78" s="47" t="str">
        <f aca="false">IF(OR(V78="",N(W78)&lt;10),"",(V78-1)/4*100)</f>
        <v/>
      </c>
      <c r="AH78" s="47" t="str">
        <f aca="false">IF($C78="","",COUNT(X78:AG78))</f>
        <v/>
      </c>
      <c r="AI78" s="47" t="str">
        <f aca="false">IF(OR($C78="",N(AH78)&lt;Parámetros!$B$18),"",(IF(ISNUMBER(X78),X78*Parámetros!$B$2,0)+IF(ISNUMBER(Y78),Y78*Parámetros!$B$3,0)+IF(ISNUMBER(Z78),Z78*Parámetros!$B$4,0)+IF(ISNUMBER(AA78),AA78*Parámetros!$B$5,0)+IF(ISNUMBER(AB78),AB78*Parámetros!$B$6,0)+IF(ISNUMBER(AC78),AC78*Parámetros!$B$7,0)+IF(ISNUMBER(AD78),AD78*Parámetros!$B$8,0)+IF(ISNUMBER(AE78),AE78*Parámetros!$B$9,0)+IF(ISNUMBER(AF78),AF78*Parámetros!$B$10,0)+IF(ISNUMBER(AG78),AG78*Parámetros!$B$11,0))/(IF(ISNUMBER(X78),Parámetros!$B$2,0)+IF(ISNUMBER(Y78),Parámetros!$B$3,0)+IF(ISNUMBER(Z78),Parámetros!$B$4,0)+IF(ISNUMBER(AA78),Parámetros!$B$5,0)+IF(ISNUMBER(AB78),Parámetros!$B$6,0)+IF(ISNUMBER(AC78),Parámetros!$B$7,0)+IF(ISNUMBER(AD78),Parámetros!$B$8,0)+IF(ISNUMBER(AE78),Parámetros!$B$9,0)+IF(ISNUMBER(AF78),Parámetros!$B$10,0)+IF(ISNUMBER(AG78),Parámetros!$B$11,0)))</f>
        <v/>
      </c>
      <c r="AJ78" s="47" t="n">
        <f aca="false">IF(AND(ISNUMBER(Y78),N(Y78)&lt;60),69.9,IF(OR(AND(ISNUMBER(AE78),N(AE78)&lt;80),AND(ISNUMBER(AC78),N(AC78)&lt;50,N(O78)&gt;=2)),84.9,100))</f>
        <v>100</v>
      </c>
      <c r="AK78" s="47" t="str">
        <f aca="false">IF(AI78="","",MIN(AI78,AJ78))</f>
        <v/>
      </c>
      <c r="AL78" s="47" t="str">
        <f aca="false">IF($C78="","",IF(AK78="","Gris — menos de 3 fuentes",IF(AND(AK78&lt;Parámetros!$B$14,N78&lt;&gt;"",N(N78)&lt;Parámetros!$B$15,N(Y78)&gt;=60),"Gris — repetir observación",IF(AK78&gt;=Parámetros!$B$13,"Verde",IF(AK78&gt;=Parámetros!$B$14,"Amarillo","Rojo")))))</f>
        <v/>
      </c>
      <c r="AM78" s="47" t="str">
        <f aca="false">IF($C78="","",IF(AND(ISNUMBER(Y78),N(Y78)&lt;60),"Ejecución &lt; 60 %: rojo automático",IF(AND(ISNUMBER(AE78),N(AE78)&lt;80),"PIAR &lt; 80 %: máximo amarillo",IF(AND(ISNUMBER(AC78),N(AC78)&lt;50,N(O78)&gt;=2),"Observación &lt; 50: máximo amarillo",IF(AND(N78&lt;&gt;"",N(N78)&lt;Parámetros!$B$15),"κ &lt; 0,60: observación descartada, repetir","")))))</f>
        <v/>
      </c>
    </row>
    <row r="79" customFormat="false" ht="15" hidden="false" customHeight="fals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7" t="str">
        <f aca="false">IF(N(E79)&gt;0,MIN(100,F79/E79*100),"")</f>
        <v/>
      </c>
      <c r="Y79" s="47" t="str">
        <f aca="false">IF(N(G79)&gt;0,MIN(100,H79/G79*100),"")</f>
        <v/>
      </c>
      <c r="Z79" s="47" t="str">
        <f aca="false">IF(N(I79)&gt;0,MIN(100,J79/I79*100),"")</f>
        <v/>
      </c>
      <c r="AA79" s="47" t="str">
        <f aca="false">IF(K79="","",K79/24*100)</f>
        <v/>
      </c>
      <c r="AB79" s="47" t="str">
        <f aca="false">IF(L79="","",L79/3*100)</f>
        <v/>
      </c>
      <c r="AC79" s="47" t="str">
        <f aca="false">IF(OR(M79="",AND(N79&lt;&gt;"",N(N79)&lt;Parámetros!$B$15)),"",MAX(0,MIN(100,(M79-1)/4*100)))</f>
        <v/>
      </c>
      <c r="AD79" s="47" t="str">
        <f aca="false">IF(OR(P79="",N(Q79)=0),"",MAX(0,MIN(100,((Q79/(Q79+Parámetros!$B$16))*P79+(Parámetros!$B$16/(Q79+Parámetros!$B$16))*Parámetros!$B$17-0.1)/0.4*100)))</f>
        <v/>
      </c>
      <c r="AE79" s="47" t="str">
        <f aca="false">IF(N(R79)&gt;0,MIN(100,S79/R79*100),"")</f>
        <v/>
      </c>
      <c r="AF79" s="47" t="str">
        <f aca="false">IF(N(U79)&gt;0,MIN(100,T79/(U79*5)*100),"")</f>
        <v/>
      </c>
      <c r="AG79" s="47" t="str">
        <f aca="false">IF(OR(V79="",N(W79)&lt;10),"",(V79-1)/4*100)</f>
        <v/>
      </c>
      <c r="AH79" s="47" t="str">
        <f aca="false">IF($C79="","",COUNT(X79:AG79))</f>
        <v/>
      </c>
      <c r="AI79" s="47" t="str">
        <f aca="false">IF(OR($C79="",N(AH79)&lt;Parámetros!$B$18),"",(IF(ISNUMBER(X79),X79*Parámetros!$B$2,0)+IF(ISNUMBER(Y79),Y79*Parámetros!$B$3,0)+IF(ISNUMBER(Z79),Z79*Parámetros!$B$4,0)+IF(ISNUMBER(AA79),AA79*Parámetros!$B$5,0)+IF(ISNUMBER(AB79),AB79*Parámetros!$B$6,0)+IF(ISNUMBER(AC79),AC79*Parámetros!$B$7,0)+IF(ISNUMBER(AD79),AD79*Parámetros!$B$8,0)+IF(ISNUMBER(AE79),AE79*Parámetros!$B$9,0)+IF(ISNUMBER(AF79),AF79*Parámetros!$B$10,0)+IF(ISNUMBER(AG79),AG79*Parámetros!$B$11,0))/(IF(ISNUMBER(X79),Parámetros!$B$2,0)+IF(ISNUMBER(Y79),Parámetros!$B$3,0)+IF(ISNUMBER(Z79),Parámetros!$B$4,0)+IF(ISNUMBER(AA79),Parámetros!$B$5,0)+IF(ISNUMBER(AB79),Parámetros!$B$6,0)+IF(ISNUMBER(AC79),Parámetros!$B$7,0)+IF(ISNUMBER(AD79),Parámetros!$B$8,0)+IF(ISNUMBER(AE79),Parámetros!$B$9,0)+IF(ISNUMBER(AF79),Parámetros!$B$10,0)+IF(ISNUMBER(AG79),Parámetros!$B$11,0)))</f>
        <v/>
      </c>
      <c r="AJ79" s="47" t="n">
        <f aca="false">IF(AND(ISNUMBER(Y79),N(Y79)&lt;60),69.9,IF(OR(AND(ISNUMBER(AE79),N(AE79)&lt;80),AND(ISNUMBER(AC79),N(AC79)&lt;50,N(O79)&gt;=2)),84.9,100))</f>
        <v>100</v>
      </c>
      <c r="AK79" s="47" t="str">
        <f aca="false">IF(AI79="","",MIN(AI79,AJ79))</f>
        <v/>
      </c>
      <c r="AL79" s="47" t="str">
        <f aca="false">IF($C79="","",IF(AK79="","Gris — menos de 3 fuentes",IF(AND(AK79&lt;Parámetros!$B$14,N79&lt;&gt;"",N(N79)&lt;Parámetros!$B$15,N(Y79)&gt;=60),"Gris — repetir observación",IF(AK79&gt;=Parámetros!$B$13,"Verde",IF(AK79&gt;=Parámetros!$B$14,"Amarillo","Rojo")))))</f>
        <v/>
      </c>
      <c r="AM79" s="47" t="str">
        <f aca="false">IF($C79="","",IF(AND(ISNUMBER(Y79),N(Y79)&lt;60),"Ejecución &lt; 60 %: rojo automático",IF(AND(ISNUMBER(AE79),N(AE79)&lt;80),"PIAR &lt; 80 %: máximo amarillo",IF(AND(ISNUMBER(AC79),N(AC79)&lt;50,N(O79)&gt;=2),"Observación &lt; 50: máximo amarillo",IF(AND(N79&lt;&gt;"",N(N79)&lt;Parámetros!$B$15),"κ &lt; 0,60: observación descartada, repetir","")))))</f>
        <v/>
      </c>
    </row>
    <row r="80" customFormat="false" ht="15" hidden="false" customHeight="fals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7" t="str">
        <f aca="false">IF(N(E80)&gt;0,MIN(100,F80/E80*100),"")</f>
        <v/>
      </c>
      <c r="Y80" s="47" t="str">
        <f aca="false">IF(N(G80)&gt;0,MIN(100,H80/G80*100),"")</f>
        <v/>
      </c>
      <c r="Z80" s="47" t="str">
        <f aca="false">IF(N(I80)&gt;0,MIN(100,J80/I80*100),"")</f>
        <v/>
      </c>
      <c r="AA80" s="47" t="str">
        <f aca="false">IF(K80="","",K80/24*100)</f>
        <v/>
      </c>
      <c r="AB80" s="47" t="str">
        <f aca="false">IF(L80="","",L80/3*100)</f>
        <v/>
      </c>
      <c r="AC80" s="47" t="str">
        <f aca="false">IF(OR(M80="",AND(N80&lt;&gt;"",N(N80)&lt;Parámetros!$B$15)),"",MAX(0,MIN(100,(M80-1)/4*100)))</f>
        <v/>
      </c>
      <c r="AD80" s="47" t="str">
        <f aca="false">IF(OR(P80="",N(Q80)=0),"",MAX(0,MIN(100,((Q80/(Q80+Parámetros!$B$16))*P80+(Parámetros!$B$16/(Q80+Parámetros!$B$16))*Parámetros!$B$17-0.1)/0.4*100)))</f>
        <v/>
      </c>
      <c r="AE80" s="47" t="str">
        <f aca="false">IF(N(R80)&gt;0,MIN(100,S80/R80*100),"")</f>
        <v/>
      </c>
      <c r="AF80" s="47" t="str">
        <f aca="false">IF(N(U80)&gt;0,MIN(100,T80/(U80*5)*100),"")</f>
        <v/>
      </c>
      <c r="AG80" s="47" t="str">
        <f aca="false">IF(OR(V80="",N(W80)&lt;10),"",(V80-1)/4*100)</f>
        <v/>
      </c>
      <c r="AH80" s="47" t="str">
        <f aca="false">IF($C80="","",COUNT(X80:AG80))</f>
        <v/>
      </c>
      <c r="AI80" s="47" t="str">
        <f aca="false">IF(OR($C80="",N(AH80)&lt;Parámetros!$B$18),"",(IF(ISNUMBER(X80),X80*Parámetros!$B$2,0)+IF(ISNUMBER(Y80),Y80*Parámetros!$B$3,0)+IF(ISNUMBER(Z80),Z80*Parámetros!$B$4,0)+IF(ISNUMBER(AA80),AA80*Parámetros!$B$5,0)+IF(ISNUMBER(AB80),AB80*Parámetros!$B$6,0)+IF(ISNUMBER(AC80),AC80*Parámetros!$B$7,0)+IF(ISNUMBER(AD80),AD80*Parámetros!$B$8,0)+IF(ISNUMBER(AE80),AE80*Parámetros!$B$9,0)+IF(ISNUMBER(AF80),AF80*Parámetros!$B$10,0)+IF(ISNUMBER(AG80),AG80*Parámetros!$B$11,0))/(IF(ISNUMBER(X80),Parámetros!$B$2,0)+IF(ISNUMBER(Y80),Parámetros!$B$3,0)+IF(ISNUMBER(Z80),Parámetros!$B$4,0)+IF(ISNUMBER(AA80),Parámetros!$B$5,0)+IF(ISNUMBER(AB80),Parámetros!$B$6,0)+IF(ISNUMBER(AC80),Parámetros!$B$7,0)+IF(ISNUMBER(AD80),Parámetros!$B$8,0)+IF(ISNUMBER(AE80),Parámetros!$B$9,0)+IF(ISNUMBER(AF80),Parámetros!$B$10,0)+IF(ISNUMBER(AG80),Parámetros!$B$11,0)))</f>
        <v/>
      </c>
      <c r="AJ80" s="47" t="n">
        <f aca="false">IF(AND(ISNUMBER(Y80),N(Y80)&lt;60),69.9,IF(OR(AND(ISNUMBER(AE80),N(AE80)&lt;80),AND(ISNUMBER(AC80),N(AC80)&lt;50,N(O80)&gt;=2)),84.9,100))</f>
        <v>100</v>
      </c>
      <c r="AK80" s="47" t="str">
        <f aca="false">IF(AI80="","",MIN(AI80,AJ80))</f>
        <v/>
      </c>
      <c r="AL80" s="47" t="str">
        <f aca="false">IF($C80="","",IF(AK80="","Gris — menos de 3 fuentes",IF(AND(AK80&lt;Parámetros!$B$14,N80&lt;&gt;"",N(N80)&lt;Parámetros!$B$15,N(Y80)&gt;=60),"Gris — repetir observación",IF(AK80&gt;=Parámetros!$B$13,"Verde",IF(AK80&gt;=Parámetros!$B$14,"Amarillo","Rojo")))))</f>
        <v/>
      </c>
      <c r="AM80" s="47" t="str">
        <f aca="false">IF($C80="","",IF(AND(ISNUMBER(Y80),N(Y80)&lt;60),"Ejecución &lt; 60 %: rojo automático",IF(AND(ISNUMBER(AE80),N(AE80)&lt;80),"PIAR &lt; 80 %: máximo amarillo",IF(AND(ISNUMBER(AC80),N(AC80)&lt;50,N(O80)&gt;=2),"Observación &lt; 50: máximo amarillo",IF(AND(N80&lt;&gt;"",N(N80)&lt;Parámetros!$B$15),"κ &lt; 0,60: observación descartada, repetir","")))))</f>
        <v/>
      </c>
    </row>
    <row r="81" customFormat="false" ht="15" hidden="false" customHeight="fals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7" t="str">
        <f aca="false">IF(N(E81)&gt;0,MIN(100,F81/E81*100),"")</f>
        <v/>
      </c>
      <c r="Y81" s="47" t="str">
        <f aca="false">IF(N(G81)&gt;0,MIN(100,H81/G81*100),"")</f>
        <v/>
      </c>
      <c r="Z81" s="47" t="str">
        <f aca="false">IF(N(I81)&gt;0,MIN(100,J81/I81*100),"")</f>
        <v/>
      </c>
      <c r="AA81" s="47" t="str">
        <f aca="false">IF(K81="","",K81/24*100)</f>
        <v/>
      </c>
      <c r="AB81" s="47" t="str">
        <f aca="false">IF(L81="","",L81/3*100)</f>
        <v/>
      </c>
      <c r="AC81" s="47" t="str">
        <f aca="false">IF(OR(M81="",AND(N81&lt;&gt;"",N(N81)&lt;Parámetros!$B$15)),"",MAX(0,MIN(100,(M81-1)/4*100)))</f>
        <v/>
      </c>
      <c r="AD81" s="47" t="str">
        <f aca="false">IF(OR(P81="",N(Q81)=0),"",MAX(0,MIN(100,((Q81/(Q81+Parámetros!$B$16))*P81+(Parámetros!$B$16/(Q81+Parámetros!$B$16))*Parámetros!$B$17-0.1)/0.4*100)))</f>
        <v/>
      </c>
      <c r="AE81" s="47" t="str">
        <f aca="false">IF(N(R81)&gt;0,MIN(100,S81/R81*100),"")</f>
        <v/>
      </c>
      <c r="AF81" s="47" t="str">
        <f aca="false">IF(N(U81)&gt;0,MIN(100,T81/(U81*5)*100),"")</f>
        <v/>
      </c>
      <c r="AG81" s="47" t="str">
        <f aca="false">IF(OR(V81="",N(W81)&lt;10),"",(V81-1)/4*100)</f>
        <v/>
      </c>
      <c r="AH81" s="47" t="str">
        <f aca="false">IF($C81="","",COUNT(X81:AG81))</f>
        <v/>
      </c>
      <c r="AI81" s="47" t="str">
        <f aca="false">IF(OR($C81="",N(AH81)&lt;Parámetros!$B$18),"",(IF(ISNUMBER(X81),X81*Parámetros!$B$2,0)+IF(ISNUMBER(Y81),Y81*Parámetros!$B$3,0)+IF(ISNUMBER(Z81),Z81*Parámetros!$B$4,0)+IF(ISNUMBER(AA81),AA81*Parámetros!$B$5,0)+IF(ISNUMBER(AB81),AB81*Parámetros!$B$6,0)+IF(ISNUMBER(AC81),AC81*Parámetros!$B$7,0)+IF(ISNUMBER(AD81),AD81*Parámetros!$B$8,0)+IF(ISNUMBER(AE81),AE81*Parámetros!$B$9,0)+IF(ISNUMBER(AF81),AF81*Parámetros!$B$10,0)+IF(ISNUMBER(AG81),AG81*Parámetros!$B$11,0))/(IF(ISNUMBER(X81),Parámetros!$B$2,0)+IF(ISNUMBER(Y81),Parámetros!$B$3,0)+IF(ISNUMBER(Z81),Parámetros!$B$4,0)+IF(ISNUMBER(AA81),Parámetros!$B$5,0)+IF(ISNUMBER(AB81),Parámetros!$B$6,0)+IF(ISNUMBER(AC81),Parámetros!$B$7,0)+IF(ISNUMBER(AD81),Parámetros!$B$8,0)+IF(ISNUMBER(AE81),Parámetros!$B$9,0)+IF(ISNUMBER(AF81),Parámetros!$B$10,0)+IF(ISNUMBER(AG81),Parámetros!$B$11,0)))</f>
        <v/>
      </c>
      <c r="AJ81" s="47" t="n">
        <f aca="false">IF(AND(ISNUMBER(Y81),N(Y81)&lt;60),69.9,IF(OR(AND(ISNUMBER(AE81),N(AE81)&lt;80),AND(ISNUMBER(AC81),N(AC81)&lt;50,N(O81)&gt;=2)),84.9,100))</f>
        <v>100</v>
      </c>
      <c r="AK81" s="47" t="str">
        <f aca="false">IF(AI81="","",MIN(AI81,AJ81))</f>
        <v/>
      </c>
      <c r="AL81" s="47" t="str">
        <f aca="false">IF($C81="","",IF(AK81="","Gris — menos de 3 fuentes",IF(AND(AK81&lt;Parámetros!$B$14,N81&lt;&gt;"",N(N81)&lt;Parámetros!$B$15,N(Y81)&gt;=60),"Gris — repetir observación",IF(AK81&gt;=Parámetros!$B$13,"Verde",IF(AK81&gt;=Parámetros!$B$14,"Amarillo","Rojo")))))</f>
        <v/>
      </c>
      <c r="AM81" s="47" t="str">
        <f aca="false">IF($C81="","",IF(AND(ISNUMBER(Y81),N(Y81)&lt;60),"Ejecución &lt; 60 %: rojo automático",IF(AND(ISNUMBER(AE81),N(AE81)&lt;80),"PIAR &lt; 80 %: máximo amarillo",IF(AND(ISNUMBER(AC81),N(AC81)&lt;50,N(O81)&gt;=2),"Observación &lt; 50: máximo amarillo",IF(AND(N81&lt;&gt;"",N(N81)&lt;Parámetros!$B$15),"κ &lt; 0,60: observación descartada, repetir","")))))</f>
        <v/>
      </c>
    </row>
    <row r="82" customFormat="false" ht="15" hidden="false" customHeight="fals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7" t="str">
        <f aca="false">IF(N(E82)&gt;0,MIN(100,F82/E82*100),"")</f>
        <v/>
      </c>
      <c r="Y82" s="47" t="str">
        <f aca="false">IF(N(G82)&gt;0,MIN(100,H82/G82*100),"")</f>
        <v/>
      </c>
      <c r="Z82" s="47" t="str">
        <f aca="false">IF(N(I82)&gt;0,MIN(100,J82/I82*100),"")</f>
        <v/>
      </c>
      <c r="AA82" s="47" t="str">
        <f aca="false">IF(K82="","",K82/24*100)</f>
        <v/>
      </c>
      <c r="AB82" s="47" t="str">
        <f aca="false">IF(L82="","",L82/3*100)</f>
        <v/>
      </c>
      <c r="AC82" s="47" t="str">
        <f aca="false">IF(OR(M82="",AND(N82&lt;&gt;"",N(N82)&lt;Parámetros!$B$15)),"",MAX(0,MIN(100,(M82-1)/4*100)))</f>
        <v/>
      </c>
      <c r="AD82" s="47" t="str">
        <f aca="false">IF(OR(P82="",N(Q82)=0),"",MAX(0,MIN(100,((Q82/(Q82+Parámetros!$B$16))*P82+(Parámetros!$B$16/(Q82+Parámetros!$B$16))*Parámetros!$B$17-0.1)/0.4*100)))</f>
        <v/>
      </c>
      <c r="AE82" s="47" t="str">
        <f aca="false">IF(N(R82)&gt;0,MIN(100,S82/R82*100),"")</f>
        <v/>
      </c>
      <c r="AF82" s="47" t="str">
        <f aca="false">IF(N(U82)&gt;0,MIN(100,T82/(U82*5)*100),"")</f>
        <v/>
      </c>
      <c r="AG82" s="47" t="str">
        <f aca="false">IF(OR(V82="",N(W82)&lt;10),"",(V82-1)/4*100)</f>
        <v/>
      </c>
      <c r="AH82" s="47" t="str">
        <f aca="false">IF($C82="","",COUNT(X82:AG82))</f>
        <v/>
      </c>
      <c r="AI82" s="47" t="str">
        <f aca="false">IF(OR($C82="",N(AH82)&lt;Parámetros!$B$18),"",(IF(ISNUMBER(X82),X82*Parámetros!$B$2,0)+IF(ISNUMBER(Y82),Y82*Parámetros!$B$3,0)+IF(ISNUMBER(Z82),Z82*Parámetros!$B$4,0)+IF(ISNUMBER(AA82),AA82*Parámetros!$B$5,0)+IF(ISNUMBER(AB82),AB82*Parámetros!$B$6,0)+IF(ISNUMBER(AC82),AC82*Parámetros!$B$7,0)+IF(ISNUMBER(AD82),AD82*Parámetros!$B$8,0)+IF(ISNUMBER(AE82),AE82*Parámetros!$B$9,0)+IF(ISNUMBER(AF82),AF82*Parámetros!$B$10,0)+IF(ISNUMBER(AG82),AG82*Parámetros!$B$11,0))/(IF(ISNUMBER(X82),Parámetros!$B$2,0)+IF(ISNUMBER(Y82),Parámetros!$B$3,0)+IF(ISNUMBER(Z82),Parámetros!$B$4,0)+IF(ISNUMBER(AA82),Parámetros!$B$5,0)+IF(ISNUMBER(AB82),Parámetros!$B$6,0)+IF(ISNUMBER(AC82),Parámetros!$B$7,0)+IF(ISNUMBER(AD82),Parámetros!$B$8,0)+IF(ISNUMBER(AE82),Parámetros!$B$9,0)+IF(ISNUMBER(AF82),Parámetros!$B$10,0)+IF(ISNUMBER(AG82),Parámetros!$B$11,0)))</f>
        <v/>
      </c>
      <c r="AJ82" s="47" t="n">
        <f aca="false">IF(AND(ISNUMBER(Y82),N(Y82)&lt;60),69.9,IF(OR(AND(ISNUMBER(AE82),N(AE82)&lt;80),AND(ISNUMBER(AC82),N(AC82)&lt;50,N(O82)&gt;=2)),84.9,100))</f>
        <v>100</v>
      </c>
      <c r="AK82" s="47" t="str">
        <f aca="false">IF(AI82="","",MIN(AI82,AJ82))</f>
        <v/>
      </c>
      <c r="AL82" s="47" t="str">
        <f aca="false">IF($C82="","",IF(AK82="","Gris — menos de 3 fuentes",IF(AND(AK82&lt;Parámetros!$B$14,N82&lt;&gt;"",N(N82)&lt;Parámetros!$B$15,N(Y82)&gt;=60),"Gris — repetir observación",IF(AK82&gt;=Parámetros!$B$13,"Verde",IF(AK82&gt;=Parámetros!$B$14,"Amarillo","Rojo")))))</f>
        <v/>
      </c>
      <c r="AM82" s="47" t="str">
        <f aca="false">IF($C82="","",IF(AND(ISNUMBER(Y82),N(Y82)&lt;60),"Ejecución &lt; 60 %: rojo automático",IF(AND(ISNUMBER(AE82),N(AE82)&lt;80),"PIAR &lt; 80 %: máximo amarillo",IF(AND(ISNUMBER(AC82),N(AC82)&lt;50,N(O82)&gt;=2),"Observación &lt; 50: máximo amarillo",IF(AND(N82&lt;&gt;"",N(N82)&lt;Parámetros!$B$15),"κ &lt; 0,60: observación descartada, repetir","")))))</f>
        <v/>
      </c>
    </row>
    <row r="83" customFormat="false" ht="15" hidden="false" customHeight="fals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7" t="str">
        <f aca="false">IF(N(E83)&gt;0,MIN(100,F83/E83*100),"")</f>
        <v/>
      </c>
      <c r="Y83" s="47" t="str">
        <f aca="false">IF(N(G83)&gt;0,MIN(100,H83/G83*100),"")</f>
        <v/>
      </c>
      <c r="Z83" s="47" t="str">
        <f aca="false">IF(N(I83)&gt;0,MIN(100,J83/I83*100),"")</f>
        <v/>
      </c>
      <c r="AA83" s="47" t="str">
        <f aca="false">IF(K83="","",K83/24*100)</f>
        <v/>
      </c>
      <c r="AB83" s="47" t="str">
        <f aca="false">IF(L83="","",L83/3*100)</f>
        <v/>
      </c>
      <c r="AC83" s="47" t="str">
        <f aca="false">IF(OR(M83="",AND(N83&lt;&gt;"",N(N83)&lt;Parámetros!$B$15)),"",MAX(0,MIN(100,(M83-1)/4*100)))</f>
        <v/>
      </c>
      <c r="AD83" s="47" t="str">
        <f aca="false">IF(OR(P83="",N(Q83)=0),"",MAX(0,MIN(100,((Q83/(Q83+Parámetros!$B$16))*P83+(Parámetros!$B$16/(Q83+Parámetros!$B$16))*Parámetros!$B$17-0.1)/0.4*100)))</f>
        <v/>
      </c>
      <c r="AE83" s="47" t="str">
        <f aca="false">IF(N(R83)&gt;0,MIN(100,S83/R83*100),"")</f>
        <v/>
      </c>
      <c r="AF83" s="47" t="str">
        <f aca="false">IF(N(U83)&gt;0,MIN(100,T83/(U83*5)*100),"")</f>
        <v/>
      </c>
      <c r="AG83" s="47" t="str">
        <f aca="false">IF(OR(V83="",N(W83)&lt;10),"",(V83-1)/4*100)</f>
        <v/>
      </c>
      <c r="AH83" s="47" t="str">
        <f aca="false">IF($C83="","",COUNT(X83:AG83))</f>
        <v/>
      </c>
      <c r="AI83" s="47" t="str">
        <f aca="false">IF(OR($C83="",N(AH83)&lt;Parámetros!$B$18),"",(IF(ISNUMBER(X83),X83*Parámetros!$B$2,0)+IF(ISNUMBER(Y83),Y83*Parámetros!$B$3,0)+IF(ISNUMBER(Z83),Z83*Parámetros!$B$4,0)+IF(ISNUMBER(AA83),AA83*Parámetros!$B$5,0)+IF(ISNUMBER(AB83),AB83*Parámetros!$B$6,0)+IF(ISNUMBER(AC83),AC83*Parámetros!$B$7,0)+IF(ISNUMBER(AD83),AD83*Parámetros!$B$8,0)+IF(ISNUMBER(AE83),AE83*Parámetros!$B$9,0)+IF(ISNUMBER(AF83),AF83*Parámetros!$B$10,0)+IF(ISNUMBER(AG83),AG83*Parámetros!$B$11,0))/(IF(ISNUMBER(X83),Parámetros!$B$2,0)+IF(ISNUMBER(Y83),Parámetros!$B$3,0)+IF(ISNUMBER(Z83),Parámetros!$B$4,0)+IF(ISNUMBER(AA83),Parámetros!$B$5,0)+IF(ISNUMBER(AB83),Parámetros!$B$6,0)+IF(ISNUMBER(AC83),Parámetros!$B$7,0)+IF(ISNUMBER(AD83),Parámetros!$B$8,0)+IF(ISNUMBER(AE83),Parámetros!$B$9,0)+IF(ISNUMBER(AF83),Parámetros!$B$10,0)+IF(ISNUMBER(AG83),Parámetros!$B$11,0)))</f>
        <v/>
      </c>
      <c r="AJ83" s="47" t="n">
        <f aca="false">IF(AND(ISNUMBER(Y83),N(Y83)&lt;60),69.9,IF(OR(AND(ISNUMBER(AE83),N(AE83)&lt;80),AND(ISNUMBER(AC83),N(AC83)&lt;50,N(O83)&gt;=2)),84.9,100))</f>
        <v>100</v>
      </c>
      <c r="AK83" s="47" t="str">
        <f aca="false">IF(AI83="","",MIN(AI83,AJ83))</f>
        <v/>
      </c>
      <c r="AL83" s="47" t="str">
        <f aca="false">IF($C83="","",IF(AK83="","Gris — menos de 3 fuentes",IF(AND(AK83&lt;Parámetros!$B$14,N83&lt;&gt;"",N(N83)&lt;Parámetros!$B$15,N(Y83)&gt;=60),"Gris — repetir observación",IF(AK83&gt;=Parámetros!$B$13,"Verde",IF(AK83&gt;=Parámetros!$B$14,"Amarillo","Rojo")))))</f>
        <v/>
      </c>
      <c r="AM83" s="47" t="str">
        <f aca="false">IF($C83="","",IF(AND(ISNUMBER(Y83),N(Y83)&lt;60),"Ejecución &lt; 60 %: rojo automático",IF(AND(ISNUMBER(AE83),N(AE83)&lt;80),"PIAR &lt; 80 %: máximo amarillo",IF(AND(ISNUMBER(AC83),N(AC83)&lt;50,N(O83)&gt;=2),"Observación &lt; 50: máximo amarillo",IF(AND(N83&lt;&gt;"",N(N83)&lt;Parámetros!$B$15),"κ &lt; 0,60: observación descartada, repetir","")))))</f>
        <v/>
      </c>
    </row>
    <row r="84" customFormat="false" ht="15" hidden="false" customHeight="fals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7" t="str">
        <f aca="false">IF(N(E84)&gt;0,MIN(100,F84/E84*100),"")</f>
        <v/>
      </c>
      <c r="Y84" s="47" t="str">
        <f aca="false">IF(N(G84)&gt;0,MIN(100,H84/G84*100),"")</f>
        <v/>
      </c>
      <c r="Z84" s="47" t="str">
        <f aca="false">IF(N(I84)&gt;0,MIN(100,J84/I84*100),"")</f>
        <v/>
      </c>
      <c r="AA84" s="47" t="str">
        <f aca="false">IF(K84="","",K84/24*100)</f>
        <v/>
      </c>
      <c r="AB84" s="47" t="str">
        <f aca="false">IF(L84="","",L84/3*100)</f>
        <v/>
      </c>
      <c r="AC84" s="47" t="str">
        <f aca="false">IF(OR(M84="",AND(N84&lt;&gt;"",N(N84)&lt;Parámetros!$B$15)),"",MAX(0,MIN(100,(M84-1)/4*100)))</f>
        <v/>
      </c>
      <c r="AD84" s="47" t="str">
        <f aca="false">IF(OR(P84="",N(Q84)=0),"",MAX(0,MIN(100,((Q84/(Q84+Parámetros!$B$16))*P84+(Parámetros!$B$16/(Q84+Parámetros!$B$16))*Parámetros!$B$17-0.1)/0.4*100)))</f>
        <v/>
      </c>
      <c r="AE84" s="47" t="str">
        <f aca="false">IF(N(R84)&gt;0,MIN(100,S84/R84*100),"")</f>
        <v/>
      </c>
      <c r="AF84" s="47" t="str">
        <f aca="false">IF(N(U84)&gt;0,MIN(100,T84/(U84*5)*100),"")</f>
        <v/>
      </c>
      <c r="AG84" s="47" t="str">
        <f aca="false">IF(OR(V84="",N(W84)&lt;10),"",(V84-1)/4*100)</f>
        <v/>
      </c>
      <c r="AH84" s="47" t="str">
        <f aca="false">IF($C84="","",COUNT(X84:AG84))</f>
        <v/>
      </c>
      <c r="AI84" s="47" t="str">
        <f aca="false">IF(OR($C84="",N(AH84)&lt;Parámetros!$B$18),"",(IF(ISNUMBER(X84),X84*Parámetros!$B$2,0)+IF(ISNUMBER(Y84),Y84*Parámetros!$B$3,0)+IF(ISNUMBER(Z84),Z84*Parámetros!$B$4,0)+IF(ISNUMBER(AA84),AA84*Parámetros!$B$5,0)+IF(ISNUMBER(AB84),AB84*Parámetros!$B$6,0)+IF(ISNUMBER(AC84),AC84*Parámetros!$B$7,0)+IF(ISNUMBER(AD84),AD84*Parámetros!$B$8,0)+IF(ISNUMBER(AE84),AE84*Parámetros!$B$9,0)+IF(ISNUMBER(AF84),AF84*Parámetros!$B$10,0)+IF(ISNUMBER(AG84),AG84*Parámetros!$B$11,0))/(IF(ISNUMBER(X84),Parámetros!$B$2,0)+IF(ISNUMBER(Y84),Parámetros!$B$3,0)+IF(ISNUMBER(Z84),Parámetros!$B$4,0)+IF(ISNUMBER(AA84),Parámetros!$B$5,0)+IF(ISNUMBER(AB84),Parámetros!$B$6,0)+IF(ISNUMBER(AC84),Parámetros!$B$7,0)+IF(ISNUMBER(AD84),Parámetros!$B$8,0)+IF(ISNUMBER(AE84),Parámetros!$B$9,0)+IF(ISNUMBER(AF84),Parámetros!$B$10,0)+IF(ISNUMBER(AG84),Parámetros!$B$11,0)))</f>
        <v/>
      </c>
      <c r="AJ84" s="47" t="n">
        <f aca="false">IF(AND(ISNUMBER(Y84),N(Y84)&lt;60),69.9,IF(OR(AND(ISNUMBER(AE84),N(AE84)&lt;80),AND(ISNUMBER(AC84),N(AC84)&lt;50,N(O84)&gt;=2)),84.9,100))</f>
        <v>100</v>
      </c>
      <c r="AK84" s="47" t="str">
        <f aca="false">IF(AI84="","",MIN(AI84,AJ84))</f>
        <v/>
      </c>
      <c r="AL84" s="47" t="str">
        <f aca="false">IF($C84="","",IF(AK84="","Gris — menos de 3 fuentes",IF(AND(AK84&lt;Parámetros!$B$14,N84&lt;&gt;"",N(N84)&lt;Parámetros!$B$15,N(Y84)&gt;=60),"Gris — repetir observación",IF(AK84&gt;=Parámetros!$B$13,"Verde",IF(AK84&gt;=Parámetros!$B$14,"Amarillo","Rojo")))))</f>
        <v/>
      </c>
      <c r="AM84" s="47" t="str">
        <f aca="false">IF($C84="","",IF(AND(ISNUMBER(Y84),N(Y84)&lt;60),"Ejecución &lt; 60 %: rojo automático",IF(AND(ISNUMBER(AE84),N(AE84)&lt;80),"PIAR &lt; 80 %: máximo amarillo",IF(AND(ISNUMBER(AC84),N(AC84)&lt;50,N(O84)&gt;=2),"Observación &lt; 50: máximo amarillo",IF(AND(N84&lt;&gt;"",N(N84)&lt;Parámetros!$B$15),"κ &lt; 0,60: observación descartada, repetir","")))))</f>
        <v/>
      </c>
    </row>
    <row r="85" customFormat="false" ht="15" hidden="false" customHeight="fals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7" t="str">
        <f aca="false">IF(N(E85)&gt;0,MIN(100,F85/E85*100),"")</f>
        <v/>
      </c>
      <c r="Y85" s="47" t="str">
        <f aca="false">IF(N(G85)&gt;0,MIN(100,H85/G85*100),"")</f>
        <v/>
      </c>
      <c r="Z85" s="47" t="str">
        <f aca="false">IF(N(I85)&gt;0,MIN(100,J85/I85*100),"")</f>
        <v/>
      </c>
      <c r="AA85" s="47" t="str">
        <f aca="false">IF(K85="","",K85/24*100)</f>
        <v/>
      </c>
      <c r="AB85" s="47" t="str">
        <f aca="false">IF(L85="","",L85/3*100)</f>
        <v/>
      </c>
      <c r="AC85" s="47" t="str">
        <f aca="false">IF(OR(M85="",AND(N85&lt;&gt;"",N(N85)&lt;Parámetros!$B$15)),"",MAX(0,MIN(100,(M85-1)/4*100)))</f>
        <v/>
      </c>
      <c r="AD85" s="47" t="str">
        <f aca="false">IF(OR(P85="",N(Q85)=0),"",MAX(0,MIN(100,((Q85/(Q85+Parámetros!$B$16))*P85+(Parámetros!$B$16/(Q85+Parámetros!$B$16))*Parámetros!$B$17-0.1)/0.4*100)))</f>
        <v/>
      </c>
      <c r="AE85" s="47" t="str">
        <f aca="false">IF(N(R85)&gt;0,MIN(100,S85/R85*100),"")</f>
        <v/>
      </c>
      <c r="AF85" s="47" t="str">
        <f aca="false">IF(N(U85)&gt;0,MIN(100,T85/(U85*5)*100),"")</f>
        <v/>
      </c>
      <c r="AG85" s="47" t="str">
        <f aca="false">IF(OR(V85="",N(W85)&lt;10),"",(V85-1)/4*100)</f>
        <v/>
      </c>
      <c r="AH85" s="47" t="str">
        <f aca="false">IF($C85="","",COUNT(X85:AG85))</f>
        <v/>
      </c>
      <c r="AI85" s="47" t="str">
        <f aca="false">IF(OR($C85="",N(AH85)&lt;Parámetros!$B$18),"",(IF(ISNUMBER(X85),X85*Parámetros!$B$2,0)+IF(ISNUMBER(Y85),Y85*Parámetros!$B$3,0)+IF(ISNUMBER(Z85),Z85*Parámetros!$B$4,0)+IF(ISNUMBER(AA85),AA85*Parámetros!$B$5,0)+IF(ISNUMBER(AB85),AB85*Parámetros!$B$6,0)+IF(ISNUMBER(AC85),AC85*Parámetros!$B$7,0)+IF(ISNUMBER(AD85),AD85*Parámetros!$B$8,0)+IF(ISNUMBER(AE85),AE85*Parámetros!$B$9,0)+IF(ISNUMBER(AF85),AF85*Parámetros!$B$10,0)+IF(ISNUMBER(AG85),AG85*Parámetros!$B$11,0))/(IF(ISNUMBER(X85),Parámetros!$B$2,0)+IF(ISNUMBER(Y85),Parámetros!$B$3,0)+IF(ISNUMBER(Z85),Parámetros!$B$4,0)+IF(ISNUMBER(AA85),Parámetros!$B$5,0)+IF(ISNUMBER(AB85),Parámetros!$B$6,0)+IF(ISNUMBER(AC85),Parámetros!$B$7,0)+IF(ISNUMBER(AD85),Parámetros!$B$8,0)+IF(ISNUMBER(AE85),Parámetros!$B$9,0)+IF(ISNUMBER(AF85),Parámetros!$B$10,0)+IF(ISNUMBER(AG85),Parámetros!$B$11,0)))</f>
        <v/>
      </c>
      <c r="AJ85" s="47" t="n">
        <f aca="false">IF(AND(ISNUMBER(Y85),N(Y85)&lt;60),69.9,IF(OR(AND(ISNUMBER(AE85),N(AE85)&lt;80),AND(ISNUMBER(AC85),N(AC85)&lt;50,N(O85)&gt;=2)),84.9,100))</f>
        <v>100</v>
      </c>
      <c r="AK85" s="47" t="str">
        <f aca="false">IF(AI85="","",MIN(AI85,AJ85))</f>
        <v/>
      </c>
      <c r="AL85" s="47" t="str">
        <f aca="false">IF($C85="","",IF(AK85="","Gris — menos de 3 fuentes",IF(AND(AK85&lt;Parámetros!$B$14,N85&lt;&gt;"",N(N85)&lt;Parámetros!$B$15,N(Y85)&gt;=60),"Gris — repetir observación",IF(AK85&gt;=Parámetros!$B$13,"Verde",IF(AK85&gt;=Parámetros!$B$14,"Amarillo","Rojo")))))</f>
        <v/>
      </c>
      <c r="AM85" s="47" t="str">
        <f aca="false">IF($C85="","",IF(AND(ISNUMBER(Y85),N(Y85)&lt;60),"Ejecución &lt; 60 %: rojo automático",IF(AND(ISNUMBER(AE85),N(AE85)&lt;80),"PIAR &lt; 80 %: máximo amarillo",IF(AND(ISNUMBER(AC85),N(AC85)&lt;50,N(O85)&gt;=2),"Observación &lt; 50: máximo amarillo",IF(AND(N85&lt;&gt;"",N(N85)&lt;Parámetros!$B$15),"κ &lt; 0,60: observación descartada, repetir","")))))</f>
        <v/>
      </c>
    </row>
    <row r="86" customFormat="false" ht="15" hidden="false" customHeight="fals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7" t="str">
        <f aca="false">IF(N(E86)&gt;0,MIN(100,F86/E86*100),"")</f>
        <v/>
      </c>
      <c r="Y86" s="47" t="str">
        <f aca="false">IF(N(G86)&gt;0,MIN(100,H86/G86*100),"")</f>
        <v/>
      </c>
      <c r="Z86" s="47" t="str">
        <f aca="false">IF(N(I86)&gt;0,MIN(100,J86/I86*100),"")</f>
        <v/>
      </c>
      <c r="AA86" s="47" t="str">
        <f aca="false">IF(K86="","",K86/24*100)</f>
        <v/>
      </c>
      <c r="AB86" s="47" t="str">
        <f aca="false">IF(L86="","",L86/3*100)</f>
        <v/>
      </c>
      <c r="AC86" s="47" t="str">
        <f aca="false">IF(OR(M86="",AND(N86&lt;&gt;"",N(N86)&lt;Parámetros!$B$15)),"",MAX(0,MIN(100,(M86-1)/4*100)))</f>
        <v/>
      </c>
      <c r="AD86" s="47" t="str">
        <f aca="false">IF(OR(P86="",N(Q86)=0),"",MAX(0,MIN(100,((Q86/(Q86+Parámetros!$B$16))*P86+(Parámetros!$B$16/(Q86+Parámetros!$B$16))*Parámetros!$B$17-0.1)/0.4*100)))</f>
        <v/>
      </c>
      <c r="AE86" s="47" t="str">
        <f aca="false">IF(N(R86)&gt;0,MIN(100,S86/R86*100),"")</f>
        <v/>
      </c>
      <c r="AF86" s="47" t="str">
        <f aca="false">IF(N(U86)&gt;0,MIN(100,T86/(U86*5)*100),"")</f>
        <v/>
      </c>
      <c r="AG86" s="47" t="str">
        <f aca="false">IF(OR(V86="",N(W86)&lt;10),"",(V86-1)/4*100)</f>
        <v/>
      </c>
      <c r="AH86" s="47" t="str">
        <f aca="false">IF($C86="","",COUNT(X86:AG86))</f>
        <v/>
      </c>
      <c r="AI86" s="47" t="str">
        <f aca="false">IF(OR($C86="",N(AH86)&lt;Parámetros!$B$18),"",(IF(ISNUMBER(X86),X86*Parámetros!$B$2,0)+IF(ISNUMBER(Y86),Y86*Parámetros!$B$3,0)+IF(ISNUMBER(Z86),Z86*Parámetros!$B$4,0)+IF(ISNUMBER(AA86),AA86*Parámetros!$B$5,0)+IF(ISNUMBER(AB86),AB86*Parámetros!$B$6,0)+IF(ISNUMBER(AC86),AC86*Parámetros!$B$7,0)+IF(ISNUMBER(AD86),AD86*Parámetros!$B$8,0)+IF(ISNUMBER(AE86),AE86*Parámetros!$B$9,0)+IF(ISNUMBER(AF86),AF86*Parámetros!$B$10,0)+IF(ISNUMBER(AG86),AG86*Parámetros!$B$11,0))/(IF(ISNUMBER(X86),Parámetros!$B$2,0)+IF(ISNUMBER(Y86),Parámetros!$B$3,0)+IF(ISNUMBER(Z86),Parámetros!$B$4,0)+IF(ISNUMBER(AA86),Parámetros!$B$5,0)+IF(ISNUMBER(AB86),Parámetros!$B$6,0)+IF(ISNUMBER(AC86),Parámetros!$B$7,0)+IF(ISNUMBER(AD86),Parámetros!$B$8,0)+IF(ISNUMBER(AE86),Parámetros!$B$9,0)+IF(ISNUMBER(AF86),Parámetros!$B$10,0)+IF(ISNUMBER(AG86),Parámetros!$B$11,0)))</f>
        <v/>
      </c>
      <c r="AJ86" s="47" t="n">
        <f aca="false">IF(AND(ISNUMBER(Y86),N(Y86)&lt;60),69.9,IF(OR(AND(ISNUMBER(AE86),N(AE86)&lt;80),AND(ISNUMBER(AC86),N(AC86)&lt;50,N(O86)&gt;=2)),84.9,100))</f>
        <v>100</v>
      </c>
      <c r="AK86" s="47" t="str">
        <f aca="false">IF(AI86="","",MIN(AI86,AJ86))</f>
        <v/>
      </c>
      <c r="AL86" s="47" t="str">
        <f aca="false">IF($C86="","",IF(AK86="","Gris — menos de 3 fuentes",IF(AND(AK86&lt;Parámetros!$B$14,N86&lt;&gt;"",N(N86)&lt;Parámetros!$B$15,N(Y86)&gt;=60),"Gris — repetir observación",IF(AK86&gt;=Parámetros!$B$13,"Verde",IF(AK86&gt;=Parámetros!$B$14,"Amarillo","Rojo")))))</f>
        <v/>
      </c>
      <c r="AM86" s="47" t="str">
        <f aca="false">IF($C86="","",IF(AND(ISNUMBER(Y86),N(Y86)&lt;60),"Ejecución &lt; 60 %: rojo automático",IF(AND(ISNUMBER(AE86),N(AE86)&lt;80),"PIAR &lt; 80 %: máximo amarillo",IF(AND(ISNUMBER(AC86),N(AC86)&lt;50,N(O86)&gt;=2),"Observación &lt; 50: máximo amarillo",IF(AND(N86&lt;&gt;"",N(N86)&lt;Parámetros!$B$15),"κ &lt; 0,60: observación descartada, repetir","")))))</f>
        <v/>
      </c>
    </row>
    <row r="87" customFormat="false" ht="15" hidden="false" customHeight="fals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7" t="str">
        <f aca="false">IF(N(E87)&gt;0,MIN(100,F87/E87*100),"")</f>
        <v/>
      </c>
      <c r="Y87" s="47" t="str">
        <f aca="false">IF(N(G87)&gt;0,MIN(100,H87/G87*100),"")</f>
        <v/>
      </c>
      <c r="Z87" s="47" t="str">
        <f aca="false">IF(N(I87)&gt;0,MIN(100,J87/I87*100),"")</f>
        <v/>
      </c>
      <c r="AA87" s="47" t="str">
        <f aca="false">IF(K87="","",K87/24*100)</f>
        <v/>
      </c>
      <c r="AB87" s="47" t="str">
        <f aca="false">IF(L87="","",L87/3*100)</f>
        <v/>
      </c>
      <c r="AC87" s="47" t="str">
        <f aca="false">IF(OR(M87="",AND(N87&lt;&gt;"",N(N87)&lt;Parámetros!$B$15)),"",MAX(0,MIN(100,(M87-1)/4*100)))</f>
        <v/>
      </c>
      <c r="AD87" s="47" t="str">
        <f aca="false">IF(OR(P87="",N(Q87)=0),"",MAX(0,MIN(100,((Q87/(Q87+Parámetros!$B$16))*P87+(Parámetros!$B$16/(Q87+Parámetros!$B$16))*Parámetros!$B$17-0.1)/0.4*100)))</f>
        <v/>
      </c>
      <c r="AE87" s="47" t="str">
        <f aca="false">IF(N(R87)&gt;0,MIN(100,S87/R87*100),"")</f>
        <v/>
      </c>
      <c r="AF87" s="47" t="str">
        <f aca="false">IF(N(U87)&gt;0,MIN(100,T87/(U87*5)*100),"")</f>
        <v/>
      </c>
      <c r="AG87" s="47" t="str">
        <f aca="false">IF(OR(V87="",N(W87)&lt;10),"",(V87-1)/4*100)</f>
        <v/>
      </c>
      <c r="AH87" s="47" t="str">
        <f aca="false">IF($C87="","",COUNT(X87:AG87))</f>
        <v/>
      </c>
      <c r="AI87" s="47" t="str">
        <f aca="false">IF(OR($C87="",N(AH87)&lt;Parámetros!$B$18),"",(IF(ISNUMBER(X87),X87*Parámetros!$B$2,0)+IF(ISNUMBER(Y87),Y87*Parámetros!$B$3,0)+IF(ISNUMBER(Z87),Z87*Parámetros!$B$4,0)+IF(ISNUMBER(AA87),AA87*Parámetros!$B$5,0)+IF(ISNUMBER(AB87),AB87*Parámetros!$B$6,0)+IF(ISNUMBER(AC87),AC87*Parámetros!$B$7,0)+IF(ISNUMBER(AD87),AD87*Parámetros!$B$8,0)+IF(ISNUMBER(AE87),AE87*Parámetros!$B$9,0)+IF(ISNUMBER(AF87),AF87*Parámetros!$B$10,0)+IF(ISNUMBER(AG87),AG87*Parámetros!$B$11,0))/(IF(ISNUMBER(X87),Parámetros!$B$2,0)+IF(ISNUMBER(Y87),Parámetros!$B$3,0)+IF(ISNUMBER(Z87),Parámetros!$B$4,0)+IF(ISNUMBER(AA87),Parámetros!$B$5,0)+IF(ISNUMBER(AB87),Parámetros!$B$6,0)+IF(ISNUMBER(AC87),Parámetros!$B$7,0)+IF(ISNUMBER(AD87),Parámetros!$B$8,0)+IF(ISNUMBER(AE87),Parámetros!$B$9,0)+IF(ISNUMBER(AF87),Parámetros!$B$10,0)+IF(ISNUMBER(AG87),Parámetros!$B$11,0)))</f>
        <v/>
      </c>
      <c r="AJ87" s="47" t="n">
        <f aca="false">IF(AND(ISNUMBER(Y87),N(Y87)&lt;60),69.9,IF(OR(AND(ISNUMBER(AE87),N(AE87)&lt;80),AND(ISNUMBER(AC87),N(AC87)&lt;50,N(O87)&gt;=2)),84.9,100))</f>
        <v>100</v>
      </c>
      <c r="AK87" s="47" t="str">
        <f aca="false">IF(AI87="","",MIN(AI87,AJ87))</f>
        <v/>
      </c>
      <c r="AL87" s="47" t="str">
        <f aca="false">IF($C87="","",IF(AK87="","Gris — menos de 3 fuentes",IF(AND(AK87&lt;Parámetros!$B$14,N87&lt;&gt;"",N(N87)&lt;Parámetros!$B$15,N(Y87)&gt;=60),"Gris — repetir observación",IF(AK87&gt;=Parámetros!$B$13,"Verde",IF(AK87&gt;=Parámetros!$B$14,"Amarillo","Rojo")))))</f>
        <v/>
      </c>
      <c r="AM87" s="47" t="str">
        <f aca="false">IF($C87="","",IF(AND(ISNUMBER(Y87),N(Y87)&lt;60),"Ejecución &lt; 60 %: rojo automático",IF(AND(ISNUMBER(AE87),N(AE87)&lt;80),"PIAR &lt; 80 %: máximo amarillo",IF(AND(ISNUMBER(AC87),N(AC87)&lt;50,N(O87)&gt;=2),"Observación &lt; 50: máximo amarillo",IF(AND(N87&lt;&gt;"",N(N87)&lt;Parámetros!$B$15),"κ &lt; 0,60: observación descartada, repetir","")))))</f>
        <v/>
      </c>
    </row>
    <row r="88" customFormat="false" ht="15" hidden="false" customHeight="fals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7" t="str">
        <f aca="false">IF(N(E88)&gt;0,MIN(100,F88/E88*100),"")</f>
        <v/>
      </c>
      <c r="Y88" s="47" t="str">
        <f aca="false">IF(N(G88)&gt;0,MIN(100,H88/G88*100),"")</f>
        <v/>
      </c>
      <c r="Z88" s="47" t="str">
        <f aca="false">IF(N(I88)&gt;0,MIN(100,J88/I88*100),"")</f>
        <v/>
      </c>
      <c r="AA88" s="47" t="str">
        <f aca="false">IF(K88="","",K88/24*100)</f>
        <v/>
      </c>
      <c r="AB88" s="47" t="str">
        <f aca="false">IF(L88="","",L88/3*100)</f>
        <v/>
      </c>
      <c r="AC88" s="47" t="str">
        <f aca="false">IF(OR(M88="",AND(N88&lt;&gt;"",N(N88)&lt;Parámetros!$B$15)),"",MAX(0,MIN(100,(M88-1)/4*100)))</f>
        <v/>
      </c>
      <c r="AD88" s="47" t="str">
        <f aca="false">IF(OR(P88="",N(Q88)=0),"",MAX(0,MIN(100,((Q88/(Q88+Parámetros!$B$16))*P88+(Parámetros!$B$16/(Q88+Parámetros!$B$16))*Parámetros!$B$17-0.1)/0.4*100)))</f>
        <v/>
      </c>
      <c r="AE88" s="47" t="str">
        <f aca="false">IF(N(R88)&gt;0,MIN(100,S88/R88*100),"")</f>
        <v/>
      </c>
      <c r="AF88" s="47" t="str">
        <f aca="false">IF(N(U88)&gt;0,MIN(100,T88/(U88*5)*100),"")</f>
        <v/>
      </c>
      <c r="AG88" s="47" t="str">
        <f aca="false">IF(OR(V88="",N(W88)&lt;10),"",(V88-1)/4*100)</f>
        <v/>
      </c>
      <c r="AH88" s="47" t="str">
        <f aca="false">IF($C88="","",COUNT(X88:AG88))</f>
        <v/>
      </c>
      <c r="AI88" s="47" t="str">
        <f aca="false">IF(OR($C88="",N(AH88)&lt;Parámetros!$B$18),"",(IF(ISNUMBER(X88),X88*Parámetros!$B$2,0)+IF(ISNUMBER(Y88),Y88*Parámetros!$B$3,0)+IF(ISNUMBER(Z88),Z88*Parámetros!$B$4,0)+IF(ISNUMBER(AA88),AA88*Parámetros!$B$5,0)+IF(ISNUMBER(AB88),AB88*Parámetros!$B$6,0)+IF(ISNUMBER(AC88),AC88*Parámetros!$B$7,0)+IF(ISNUMBER(AD88),AD88*Parámetros!$B$8,0)+IF(ISNUMBER(AE88),AE88*Parámetros!$B$9,0)+IF(ISNUMBER(AF88),AF88*Parámetros!$B$10,0)+IF(ISNUMBER(AG88),AG88*Parámetros!$B$11,0))/(IF(ISNUMBER(X88),Parámetros!$B$2,0)+IF(ISNUMBER(Y88),Parámetros!$B$3,0)+IF(ISNUMBER(Z88),Parámetros!$B$4,0)+IF(ISNUMBER(AA88),Parámetros!$B$5,0)+IF(ISNUMBER(AB88),Parámetros!$B$6,0)+IF(ISNUMBER(AC88),Parámetros!$B$7,0)+IF(ISNUMBER(AD88),Parámetros!$B$8,0)+IF(ISNUMBER(AE88),Parámetros!$B$9,0)+IF(ISNUMBER(AF88),Parámetros!$B$10,0)+IF(ISNUMBER(AG88),Parámetros!$B$11,0)))</f>
        <v/>
      </c>
      <c r="AJ88" s="47" t="n">
        <f aca="false">IF(AND(ISNUMBER(Y88),N(Y88)&lt;60),69.9,IF(OR(AND(ISNUMBER(AE88),N(AE88)&lt;80),AND(ISNUMBER(AC88),N(AC88)&lt;50,N(O88)&gt;=2)),84.9,100))</f>
        <v>100</v>
      </c>
      <c r="AK88" s="47" t="str">
        <f aca="false">IF(AI88="","",MIN(AI88,AJ88))</f>
        <v/>
      </c>
      <c r="AL88" s="47" t="str">
        <f aca="false">IF($C88="","",IF(AK88="","Gris — menos de 3 fuentes",IF(AND(AK88&lt;Parámetros!$B$14,N88&lt;&gt;"",N(N88)&lt;Parámetros!$B$15,N(Y88)&gt;=60),"Gris — repetir observación",IF(AK88&gt;=Parámetros!$B$13,"Verde",IF(AK88&gt;=Parámetros!$B$14,"Amarillo","Rojo")))))</f>
        <v/>
      </c>
      <c r="AM88" s="47" t="str">
        <f aca="false">IF($C88="","",IF(AND(ISNUMBER(Y88),N(Y88)&lt;60),"Ejecución &lt; 60 %: rojo automático",IF(AND(ISNUMBER(AE88),N(AE88)&lt;80),"PIAR &lt; 80 %: máximo amarillo",IF(AND(ISNUMBER(AC88),N(AC88)&lt;50,N(O88)&gt;=2),"Observación &lt; 50: máximo amarillo",IF(AND(N88&lt;&gt;"",N(N88)&lt;Parámetros!$B$15),"κ &lt; 0,60: observación descartada, repetir","")))))</f>
        <v/>
      </c>
    </row>
    <row r="89" customFormat="false" ht="15" hidden="false" customHeight="fals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7" t="str">
        <f aca="false">IF(N(E89)&gt;0,MIN(100,F89/E89*100),"")</f>
        <v/>
      </c>
      <c r="Y89" s="47" t="str">
        <f aca="false">IF(N(G89)&gt;0,MIN(100,H89/G89*100),"")</f>
        <v/>
      </c>
      <c r="Z89" s="47" t="str">
        <f aca="false">IF(N(I89)&gt;0,MIN(100,J89/I89*100),"")</f>
        <v/>
      </c>
      <c r="AA89" s="47" t="str">
        <f aca="false">IF(K89="","",K89/24*100)</f>
        <v/>
      </c>
      <c r="AB89" s="47" t="str">
        <f aca="false">IF(L89="","",L89/3*100)</f>
        <v/>
      </c>
      <c r="AC89" s="47" t="str">
        <f aca="false">IF(OR(M89="",AND(N89&lt;&gt;"",N(N89)&lt;Parámetros!$B$15)),"",MAX(0,MIN(100,(M89-1)/4*100)))</f>
        <v/>
      </c>
      <c r="AD89" s="47" t="str">
        <f aca="false">IF(OR(P89="",N(Q89)=0),"",MAX(0,MIN(100,((Q89/(Q89+Parámetros!$B$16))*P89+(Parámetros!$B$16/(Q89+Parámetros!$B$16))*Parámetros!$B$17-0.1)/0.4*100)))</f>
        <v/>
      </c>
      <c r="AE89" s="47" t="str">
        <f aca="false">IF(N(R89)&gt;0,MIN(100,S89/R89*100),"")</f>
        <v/>
      </c>
      <c r="AF89" s="47" t="str">
        <f aca="false">IF(N(U89)&gt;0,MIN(100,T89/(U89*5)*100),"")</f>
        <v/>
      </c>
      <c r="AG89" s="47" t="str">
        <f aca="false">IF(OR(V89="",N(W89)&lt;10),"",(V89-1)/4*100)</f>
        <v/>
      </c>
      <c r="AH89" s="47" t="str">
        <f aca="false">IF($C89="","",COUNT(X89:AG89))</f>
        <v/>
      </c>
      <c r="AI89" s="47" t="str">
        <f aca="false">IF(OR($C89="",N(AH89)&lt;Parámetros!$B$18),"",(IF(ISNUMBER(X89),X89*Parámetros!$B$2,0)+IF(ISNUMBER(Y89),Y89*Parámetros!$B$3,0)+IF(ISNUMBER(Z89),Z89*Parámetros!$B$4,0)+IF(ISNUMBER(AA89),AA89*Parámetros!$B$5,0)+IF(ISNUMBER(AB89),AB89*Parámetros!$B$6,0)+IF(ISNUMBER(AC89),AC89*Parámetros!$B$7,0)+IF(ISNUMBER(AD89),AD89*Parámetros!$B$8,0)+IF(ISNUMBER(AE89),AE89*Parámetros!$B$9,0)+IF(ISNUMBER(AF89),AF89*Parámetros!$B$10,0)+IF(ISNUMBER(AG89),AG89*Parámetros!$B$11,0))/(IF(ISNUMBER(X89),Parámetros!$B$2,0)+IF(ISNUMBER(Y89),Parámetros!$B$3,0)+IF(ISNUMBER(Z89),Parámetros!$B$4,0)+IF(ISNUMBER(AA89),Parámetros!$B$5,0)+IF(ISNUMBER(AB89),Parámetros!$B$6,0)+IF(ISNUMBER(AC89),Parámetros!$B$7,0)+IF(ISNUMBER(AD89),Parámetros!$B$8,0)+IF(ISNUMBER(AE89),Parámetros!$B$9,0)+IF(ISNUMBER(AF89),Parámetros!$B$10,0)+IF(ISNUMBER(AG89),Parámetros!$B$11,0)))</f>
        <v/>
      </c>
      <c r="AJ89" s="47" t="n">
        <f aca="false">IF(AND(ISNUMBER(Y89),N(Y89)&lt;60),69.9,IF(OR(AND(ISNUMBER(AE89),N(AE89)&lt;80),AND(ISNUMBER(AC89),N(AC89)&lt;50,N(O89)&gt;=2)),84.9,100))</f>
        <v>100</v>
      </c>
      <c r="AK89" s="47" t="str">
        <f aca="false">IF(AI89="","",MIN(AI89,AJ89))</f>
        <v/>
      </c>
      <c r="AL89" s="47" t="str">
        <f aca="false">IF($C89="","",IF(AK89="","Gris — menos de 3 fuentes",IF(AND(AK89&lt;Parámetros!$B$14,N89&lt;&gt;"",N(N89)&lt;Parámetros!$B$15,N(Y89)&gt;=60),"Gris — repetir observación",IF(AK89&gt;=Parámetros!$B$13,"Verde",IF(AK89&gt;=Parámetros!$B$14,"Amarillo","Rojo")))))</f>
        <v/>
      </c>
      <c r="AM89" s="47" t="str">
        <f aca="false">IF($C89="","",IF(AND(ISNUMBER(Y89),N(Y89)&lt;60),"Ejecución &lt; 60 %: rojo automático",IF(AND(ISNUMBER(AE89),N(AE89)&lt;80),"PIAR &lt; 80 %: máximo amarillo",IF(AND(ISNUMBER(AC89),N(AC89)&lt;50,N(O89)&gt;=2),"Observación &lt; 50: máximo amarillo",IF(AND(N89&lt;&gt;"",N(N89)&lt;Parámetros!$B$15),"κ &lt; 0,60: observación descartada, repetir","")))))</f>
        <v/>
      </c>
    </row>
    <row r="90" customFormat="false" ht="15" hidden="false" customHeight="fals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7" t="str">
        <f aca="false">IF(N(E90)&gt;0,MIN(100,F90/E90*100),"")</f>
        <v/>
      </c>
      <c r="Y90" s="47" t="str">
        <f aca="false">IF(N(G90)&gt;0,MIN(100,H90/G90*100),"")</f>
        <v/>
      </c>
      <c r="Z90" s="47" t="str">
        <f aca="false">IF(N(I90)&gt;0,MIN(100,J90/I90*100),"")</f>
        <v/>
      </c>
      <c r="AA90" s="47" t="str">
        <f aca="false">IF(K90="","",K90/24*100)</f>
        <v/>
      </c>
      <c r="AB90" s="47" t="str">
        <f aca="false">IF(L90="","",L90/3*100)</f>
        <v/>
      </c>
      <c r="AC90" s="47" t="str">
        <f aca="false">IF(OR(M90="",AND(N90&lt;&gt;"",N(N90)&lt;Parámetros!$B$15)),"",MAX(0,MIN(100,(M90-1)/4*100)))</f>
        <v/>
      </c>
      <c r="AD90" s="47" t="str">
        <f aca="false">IF(OR(P90="",N(Q90)=0),"",MAX(0,MIN(100,((Q90/(Q90+Parámetros!$B$16))*P90+(Parámetros!$B$16/(Q90+Parámetros!$B$16))*Parámetros!$B$17-0.1)/0.4*100)))</f>
        <v/>
      </c>
      <c r="AE90" s="47" t="str">
        <f aca="false">IF(N(R90)&gt;0,MIN(100,S90/R90*100),"")</f>
        <v/>
      </c>
      <c r="AF90" s="47" t="str">
        <f aca="false">IF(N(U90)&gt;0,MIN(100,T90/(U90*5)*100),"")</f>
        <v/>
      </c>
      <c r="AG90" s="47" t="str">
        <f aca="false">IF(OR(V90="",N(W90)&lt;10),"",(V90-1)/4*100)</f>
        <v/>
      </c>
      <c r="AH90" s="47" t="str">
        <f aca="false">IF($C90="","",COUNT(X90:AG90))</f>
        <v/>
      </c>
      <c r="AI90" s="47" t="str">
        <f aca="false">IF(OR($C90="",N(AH90)&lt;Parámetros!$B$18),"",(IF(ISNUMBER(X90),X90*Parámetros!$B$2,0)+IF(ISNUMBER(Y90),Y90*Parámetros!$B$3,0)+IF(ISNUMBER(Z90),Z90*Parámetros!$B$4,0)+IF(ISNUMBER(AA90),AA90*Parámetros!$B$5,0)+IF(ISNUMBER(AB90),AB90*Parámetros!$B$6,0)+IF(ISNUMBER(AC90),AC90*Parámetros!$B$7,0)+IF(ISNUMBER(AD90),AD90*Parámetros!$B$8,0)+IF(ISNUMBER(AE90),AE90*Parámetros!$B$9,0)+IF(ISNUMBER(AF90),AF90*Parámetros!$B$10,0)+IF(ISNUMBER(AG90),AG90*Parámetros!$B$11,0))/(IF(ISNUMBER(X90),Parámetros!$B$2,0)+IF(ISNUMBER(Y90),Parámetros!$B$3,0)+IF(ISNUMBER(Z90),Parámetros!$B$4,0)+IF(ISNUMBER(AA90),Parámetros!$B$5,0)+IF(ISNUMBER(AB90),Parámetros!$B$6,0)+IF(ISNUMBER(AC90),Parámetros!$B$7,0)+IF(ISNUMBER(AD90),Parámetros!$B$8,0)+IF(ISNUMBER(AE90),Parámetros!$B$9,0)+IF(ISNUMBER(AF90),Parámetros!$B$10,0)+IF(ISNUMBER(AG90),Parámetros!$B$11,0)))</f>
        <v/>
      </c>
      <c r="AJ90" s="47" t="n">
        <f aca="false">IF(AND(ISNUMBER(Y90),N(Y90)&lt;60),69.9,IF(OR(AND(ISNUMBER(AE90),N(AE90)&lt;80),AND(ISNUMBER(AC90),N(AC90)&lt;50,N(O90)&gt;=2)),84.9,100))</f>
        <v>100</v>
      </c>
      <c r="AK90" s="47" t="str">
        <f aca="false">IF(AI90="","",MIN(AI90,AJ90))</f>
        <v/>
      </c>
      <c r="AL90" s="47" t="str">
        <f aca="false">IF($C90="","",IF(AK90="","Gris — menos de 3 fuentes",IF(AND(AK90&lt;Parámetros!$B$14,N90&lt;&gt;"",N(N90)&lt;Parámetros!$B$15,N(Y90)&gt;=60),"Gris — repetir observación",IF(AK90&gt;=Parámetros!$B$13,"Verde",IF(AK90&gt;=Parámetros!$B$14,"Amarillo","Rojo")))))</f>
        <v/>
      </c>
      <c r="AM90" s="47" t="str">
        <f aca="false">IF($C90="","",IF(AND(ISNUMBER(Y90),N(Y90)&lt;60),"Ejecución &lt; 60 %: rojo automático",IF(AND(ISNUMBER(AE90),N(AE90)&lt;80),"PIAR &lt; 80 %: máximo amarillo",IF(AND(ISNUMBER(AC90),N(AC90)&lt;50,N(O90)&gt;=2),"Observación &lt; 50: máximo amarillo",IF(AND(N90&lt;&gt;"",N(N90)&lt;Parámetros!$B$15),"κ &lt; 0,60: observación descartada, repetir","")))))</f>
        <v/>
      </c>
    </row>
    <row r="91" customFormat="false" ht="15" hidden="false" customHeight="fals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7" t="str">
        <f aca="false">IF(N(E91)&gt;0,MIN(100,F91/E91*100),"")</f>
        <v/>
      </c>
      <c r="Y91" s="47" t="str">
        <f aca="false">IF(N(G91)&gt;0,MIN(100,H91/G91*100),"")</f>
        <v/>
      </c>
      <c r="Z91" s="47" t="str">
        <f aca="false">IF(N(I91)&gt;0,MIN(100,J91/I91*100),"")</f>
        <v/>
      </c>
      <c r="AA91" s="47" t="str">
        <f aca="false">IF(K91="","",K91/24*100)</f>
        <v/>
      </c>
      <c r="AB91" s="47" t="str">
        <f aca="false">IF(L91="","",L91/3*100)</f>
        <v/>
      </c>
      <c r="AC91" s="47" t="str">
        <f aca="false">IF(OR(M91="",AND(N91&lt;&gt;"",N(N91)&lt;Parámetros!$B$15)),"",MAX(0,MIN(100,(M91-1)/4*100)))</f>
        <v/>
      </c>
      <c r="AD91" s="47" t="str">
        <f aca="false">IF(OR(P91="",N(Q91)=0),"",MAX(0,MIN(100,((Q91/(Q91+Parámetros!$B$16))*P91+(Parámetros!$B$16/(Q91+Parámetros!$B$16))*Parámetros!$B$17-0.1)/0.4*100)))</f>
        <v/>
      </c>
      <c r="AE91" s="47" t="str">
        <f aca="false">IF(N(R91)&gt;0,MIN(100,S91/R91*100),"")</f>
        <v/>
      </c>
      <c r="AF91" s="47" t="str">
        <f aca="false">IF(N(U91)&gt;0,MIN(100,T91/(U91*5)*100),"")</f>
        <v/>
      </c>
      <c r="AG91" s="47" t="str">
        <f aca="false">IF(OR(V91="",N(W91)&lt;10),"",(V91-1)/4*100)</f>
        <v/>
      </c>
      <c r="AH91" s="47" t="str">
        <f aca="false">IF($C91="","",COUNT(X91:AG91))</f>
        <v/>
      </c>
      <c r="AI91" s="47" t="str">
        <f aca="false">IF(OR($C91="",N(AH91)&lt;Parámetros!$B$18),"",(IF(ISNUMBER(X91),X91*Parámetros!$B$2,0)+IF(ISNUMBER(Y91),Y91*Parámetros!$B$3,0)+IF(ISNUMBER(Z91),Z91*Parámetros!$B$4,0)+IF(ISNUMBER(AA91),AA91*Parámetros!$B$5,0)+IF(ISNUMBER(AB91),AB91*Parámetros!$B$6,0)+IF(ISNUMBER(AC91),AC91*Parámetros!$B$7,0)+IF(ISNUMBER(AD91),AD91*Parámetros!$B$8,0)+IF(ISNUMBER(AE91),AE91*Parámetros!$B$9,0)+IF(ISNUMBER(AF91),AF91*Parámetros!$B$10,0)+IF(ISNUMBER(AG91),AG91*Parámetros!$B$11,0))/(IF(ISNUMBER(X91),Parámetros!$B$2,0)+IF(ISNUMBER(Y91),Parámetros!$B$3,0)+IF(ISNUMBER(Z91),Parámetros!$B$4,0)+IF(ISNUMBER(AA91),Parámetros!$B$5,0)+IF(ISNUMBER(AB91),Parámetros!$B$6,0)+IF(ISNUMBER(AC91),Parámetros!$B$7,0)+IF(ISNUMBER(AD91),Parámetros!$B$8,0)+IF(ISNUMBER(AE91),Parámetros!$B$9,0)+IF(ISNUMBER(AF91),Parámetros!$B$10,0)+IF(ISNUMBER(AG91),Parámetros!$B$11,0)))</f>
        <v/>
      </c>
      <c r="AJ91" s="47" t="n">
        <f aca="false">IF(AND(ISNUMBER(Y91),N(Y91)&lt;60),69.9,IF(OR(AND(ISNUMBER(AE91),N(AE91)&lt;80),AND(ISNUMBER(AC91),N(AC91)&lt;50,N(O91)&gt;=2)),84.9,100))</f>
        <v>100</v>
      </c>
      <c r="AK91" s="47" t="str">
        <f aca="false">IF(AI91="","",MIN(AI91,AJ91))</f>
        <v/>
      </c>
      <c r="AL91" s="47" t="str">
        <f aca="false">IF($C91="","",IF(AK91="","Gris — menos de 3 fuentes",IF(AND(AK91&lt;Parámetros!$B$14,N91&lt;&gt;"",N(N91)&lt;Parámetros!$B$15,N(Y91)&gt;=60),"Gris — repetir observación",IF(AK91&gt;=Parámetros!$B$13,"Verde",IF(AK91&gt;=Parámetros!$B$14,"Amarillo","Rojo")))))</f>
        <v/>
      </c>
      <c r="AM91" s="47" t="str">
        <f aca="false">IF($C91="","",IF(AND(ISNUMBER(Y91),N(Y91)&lt;60),"Ejecución &lt; 60 %: rojo automático",IF(AND(ISNUMBER(AE91),N(AE91)&lt;80),"PIAR &lt; 80 %: máximo amarillo",IF(AND(ISNUMBER(AC91),N(AC91)&lt;50,N(O91)&gt;=2),"Observación &lt; 50: máximo amarillo",IF(AND(N91&lt;&gt;"",N(N91)&lt;Parámetros!$B$15),"κ &lt; 0,60: observación descartada, repetir","")))))</f>
        <v/>
      </c>
    </row>
    <row r="92" customFormat="false" ht="15" hidden="false" customHeight="fals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7" t="str">
        <f aca="false">IF(N(E92)&gt;0,MIN(100,F92/E92*100),"")</f>
        <v/>
      </c>
      <c r="Y92" s="47" t="str">
        <f aca="false">IF(N(G92)&gt;0,MIN(100,H92/G92*100),"")</f>
        <v/>
      </c>
      <c r="Z92" s="47" t="str">
        <f aca="false">IF(N(I92)&gt;0,MIN(100,J92/I92*100),"")</f>
        <v/>
      </c>
      <c r="AA92" s="47" t="str">
        <f aca="false">IF(K92="","",K92/24*100)</f>
        <v/>
      </c>
      <c r="AB92" s="47" t="str">
        <f aca="false">IF(L92="","",L92/3*100)</f>
        <v/>
      </c>
      <c r="AC92" s="47" t="str">
        <f aca="false">IF(OR(M92="",AND(N92&lt;&gt;"",N(N92)&lt;Parámetros!$B$15)),"",MAX(0,MIN(100,(M92-1)/4*100)))</f>
        <v/>
      </c>
      <c r="AD92" s="47" t="str">
        <f aca="false">IF(OR(P92="",N(Q92)=0),"",MAX(0,MIN(100,((Q92/(Q92+Parámetros!$B$16))*P92+(Parámetros!$B$16/(Q92+Parámetros!$B$16))*Parámetros!$B$17-0.1)/0.4*100)))</f>
        <v/>
      </c>
      <c r="AE92" s="47" t="str">
        <f aca="false">IF(N(R92)&gt;0,MIN(100,S92/R92*100),"")</f>
        <v/>
      </c>
      <c r="AF92" s="47" t="str">
        <f aca="false">IF(N(U92)&gt;0,MIN(100,T92/(U92*5)*100),"")</f>
        <v/>
      </c>
      <c r="AG92" s="47" t="str">
        <f aca="false">IF(OR(V92="",N(W92)&lt;10),"",(V92-1)/4*100)</f>
        <v/>
      </c>
      <c r="AH92" s="47" t="str">
        <f aca="false">IF($C92="","",COUNT(X92:AG92))</f>
        <v/>
      </c>
      <c r="AI92" s="47" t="str">
        <f aca="false">IF(OR($C92="",N(AH92)&lt;Parámetros!$B$18),"",(IF(ISNUMBER(X92),X92*Parámetros!$B$2,0)+IF(ISNUMBER(Y92),Y92*Parámetros!$B$3,0)+IF(ISNUMBER(Z92),Z92*Parámetros!$B$4,0)+IF(ISNUMBER(AA92),AA92*Parámetros!$B$5,0)+IF(ISNUMBER(AB92),AB92*Parámetros!$B$6,0)+IF(ISNUMBER(AC92),AC92*Parámetros!$B$7,0)+IF(ISNUMBER(AD92),AD92*Parámetros!$B$8,0)+IF(ISNUMBER(AE92),AE92*Parámetros!$B$9,0)+IF(ISNUMBER(AF92),AF92*Parámetros!$B$10,0)+IF(ISNUMBER(AG92),AG92*Parámetros!$B$11,0))/(IF(ISNUMBER(X92),Parámetros!$B$2,0)+IF(ISNUMBER(Y92),Parámetros!$B$3,0)+IF(ISNUMBER(Z92),Parámetros!$B$4,0)+IF(ISNUMBER(AA92),Parámetros!$B$5,0)+IF(ISNUMBER(AB92),Parámetros!$B$6,0)+IF(ISNUMBER(AC92),Parámetros!$B$7,0)+IF(ISNUMBER(AD92),Parámetros!$B$8,0)+IF(ISNUMBER(AE92),Parámetros!$B$9,0)+IF(ISNUMBER(AF92),Parámetros!$B$10,0)+IF(ISNUMBER(AG92),Parámetros!$B$11,0)))</f>
        <v/>
      </c>
      <c r="AJ92" s="47" t="n">
        <f aca="false">IF(AND(ISNUMBER(Y92),N(Y92)&lt;60),69.9,IF(OR(AND(ISNUMBER(AE92),N(AE92)&lt;80),AND(ISNUMBER(AC92),N(AC92)&lt;50,N(O92)&gt;=2)),84.9,100))</f>
        <v>100</v>
      </c>
      <c r="AK92" s="47" t="str">
        <f aca="false">IF(AI92="","",MIN(AI92,AJ92))</f>
        <v/>
      </c>
      <c r="AL92" s="47" t="str">
        <f aca="false">IF($C92="","",IF(AK92="","Gris — menos de 3 fuentes",IF(AND(AK92&lt;Parámetros!$B$14,N92&lt;&gt;"",N(N92)&lt;Parámetros!$B$15,N(Y92)&gt;=60),"Gris — repetir observación",IF(AK92&gt;=Parámetros!$B$13,"Verde",IF(AK92&gt;=Parámetros!$B$14,"Amarillo","Rojo")))))</f>
        <v/>
      </c>
      <c r="AM92" s="47" t="str">
        <f aca="false">IF($C92="","",IF(AND(ISNUMBER(Y92),N(Y92)&lt;60),"Ejecución &lt; 60 %: rojo automático",IF(AND(ISNUMBER(AE92),N(AE92)&lt;80),"PIAR &lt; 80 %: máximo amarillo",IF(AND(ISNUMBER(AC92),N(AC92)&lt;50,N(O92)&gt;=2),"Observación &lt; 50: máximo amarillo",IF(AND(N92&lt;&gt;"",N(N92)&lt;Parámetros!$B$15),"κ &lt; 0,60: observación descartada, repetir","")))))</f>
        <v/>
      </c>
    </row>
    <row r="93" customFormat="false" ht="15" hidden="false" customHeight="fals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7" t="str">
        <f aca="false">IF(N(E93)&gt;0,MIN(100,F93/E93*100),"")</f>
        <v/>
      </c>
      <c r="Y93" s="47" t="str">
        <f aca="false">IF(N(G93)&gt;0,MIN(100,H93/G93*100),"")</f>
        <v/>
      </c>
      <c r="Z93" s="47" t="str">
        <f aca="false">IF(N(I93)&gt;0,MIN(100,J93/I93*100),"")</f>
        <v/>
      </c>
      <c r="AA93" s="47" t="str">
        <f aca="false">IF(K93="","",K93/24*100)</f>
        <v/>
      </c>
      <c r="AB93" s="47" t="str">
        <f aca="false">IF(L93="","",L93/3*100)</f>
        <v/>
      </c>
      <c r="AC93" s="47" t="str">
        <f aca="false">IF(OR(M93="",AND(N93&lt;&gt;"",N(N93)&lt;Parámetros!$B$15)),"",MAX(0,MIN(100,(M93-1)/4*100)))</f>
        <v/>
      </c>
      <c r="AD93" s="47" t="str">
        <f aca="false">IF(OR(P93="",N(Q93)=0),"",MAX(0,MIN(100,((Q93/(Q93+Parámetros!$B$16))*P93+(Parámetros!$B$16/(Q93+Parámetros!$B$16))*Parámetros!$B$17-0.1)/0.4*100)))</f>
        <v/>
      </c>
      <c r="AE93" s="47" t="str">
        <f aca="false">IF(N(R93)&gt;0,MIN(100,S93/R93*100),"")</f>
        <v/>
      </c>
      <c r="AF93" s="47" t="str">
        <f aca="false">IF(N(U93)&gt;0,MIN(100,T93/(U93*5)*100),"")</f>
        <v/>
      </c>
      <c r="AG93" s="47" t="str">
        <f aca="false">IF(OR(V93="",N(W93)&lt;10),"",(V93-1)/4*100)</f>
        <v/>
      </c>
      <c r="AH93" s="47" t="str">
        <f aca="false">IF($C93="","",COUNT(X93:AG93))</f>
        <v/>
      </c>
      <c r="AI93" s="47" t="str">
        <f aca="false">IF(OR($C93="",N(AH93)&lt;Parámetros!$B$18),"",(IF(ISNUMBER(X93),X93*Parámetros!$B$2,0)+IF(ISNUMBER(Y93),Y93*Parámetros!$B$3,0)+IF(ISNUMBER(Z93),Z93*Parámetros!$B$4,0)+IF(ISNUMBER(AA93),AA93*Parámetros!$B$5,0)+IF(ISNUMBER(AB93),AB93*Parámetros!$B$6,0)+IF(ISNUMBER(AC93),AC93*Parámetros!$B$7,0)+IF(ISNUMBER(AD93),AD93*Parámetros!$B$8,0)+IF(ISNUMBER(AE93),AE93*Parámetros!$B$9,0)+IF(ISNUMBER(AF93),AF93*Parámetros!$B$10,0)+IF(ISNUMBER(AG93),AG93*Parámetros!$B$11,0))/(IF(ISNUMBER(X93),Parámetros!$B$2,0)+IF(ISNUMBER(Y93),Parámetros!$B$3,0)+IF(ISNUMBER(Z93),Parámetros!$B$4,0)+IF(ISNUMBER(AA93),Parámetros!$B$5,0)+IF(ISNUMBER(AB93),Parámetros!$B$6,0)+IF(ISNUMBER(AC93),Parámetros!$B$7,0)+IF(ISNUMBER(AD93),Parámetros!$B$8,0)+IF(ISNUMBER(AE93),Parámetros!$B$9,0)+IF(ISNUMBER(AF93),Parámetros!$B$10,0)+IF(ISNUMBER(AG93),Parámetros!$B$11,0)))</f>
        <v/>
      </c>
      <c r="AJ93" s="47" t="n">
        <f aca="false">IF(AND(ISNUMBER(Y93),N(Y93)&lt;60),69.9,IF(OR(AND(ISNUMBER(AE93),N(AE93)&lt;80),AND(ISNUMBER(AC93),N(AC93)&lt;50,N(O93)&gt;=2)),84.9,100))</f>
        <v>100</v>
      </c>
      <c r="AK93" s="47" t="str">
        <f aca="false">IF(AI93="","",MIN(AI93,AJ93))</f>
        <v/>
      </c>
      <c r="AL93" s="47" t="str">
        <f aca="false">IF($C93="","",IF(AK93="","Gris — menos de 3 fuentes",IF(AND(AK93&lt;Parámetros!$B$14,N93&lt;&gt;"",N(N93)&lt;Parámetros!$B$15,N(Y93)&gt;=60),"Gris — repetir observación",IF(AK93&gt;=Parámetros!$B$13,"Verde",IF(AK93&gt;=Parámetros!$B$14,"Amarillo","Rojo")))))</f>
        <v/>
      </c>
      <c r="AM93" s="47" t="str">
        <f aca="false">IF($C93="","",IF(AND(ISNUMBER(Y93),N(Y93)&lt;60),"Ejecución &lt; 60 %: rojo automático",IF(AND(ISNUMBER(AE93),N(AE93)&lt;80),"PIAR &lt; 80 %: máximo amarillo",IF(AND(ISNUMBER(AC93),N(AC93)&lt;50,N(O93)&gt;=2),"Observación &lt; 50: máximo amarillo",IF(AND(N93&lt;&gt;"",N(N93)&lt;Parámetros!$B$15),"κ &lt; 0,60: observación descartada, repetir","")))))</f>
        <v/>
      </c>
    </row>
    <row r="94" customFormat="false" ht="15" hidden="false" customHeight="fals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7" t="str">
        <f aca="false">IF(N(E94)&gt;0,MIN(100,F94/E94*100),"")</f>
        <v/>
      </c>
      <c r="Y94" s="47" t="str">
        <f aca="false">IF(N(G94)&gt;0,MIN(100,H94/G94*100),"")</f>
        <v/>
      </c>
      <c r="Z94" s="47" t="str">
        <f aca="false">IF(N(I94)&gt;0,MIN(100,J94/I94*100),"")</f>
        <v/>
      </c>
      <c r="AA94" s="47" t="str">
        <f aca="false">IF(K94="","",K94/24*100)</f>
        <v/>
      </c>
      <c r="AB94" s="47" t="str">
        <f aca="false">IF(L94="","",L94/3*100)</f>
        <v/>
      </c>
      <c r="AC94" s="47" t="str">
        <f aca="false">IF(OR(M94="",AND(N94&lt;&gt;"",N(N94)&lt;Parámetros!$B$15)),"",MAX(0,MIN(100,(M94-1)/4*100)))</f>
        <v/>
      </c>
      <c r="AD94" s="47" t="str">
        <f aca="false">IF(OR(P94="",N(Q94)=0),"",MAX(0,MIN(100,((Q94/(Q94+Parámetros!$B$16))*P94+(Parámetros!$B$16/(Q94+Parámetros!$B$16))*Parámetros!$B$17-0.1)/0.4*100)))</f>
        <v/>
      </c>
      <c r="AE94" s="47" t="str">
        <f aca="false">IF(N(R94)&gt;0,MIN(100,S94/R94*100),"")</f>
        <v/>
      </c>
      <c r="AF94" s="47" t="str">
        <f aca="false">IF(N(U94)&gt;0,MIN(100,T94/(U94*5)*100),"")</f>
        <v/>
      </c>
      <c r="AG94" s="47" t="str">
        <f aca="false">IF(OR(V94="",N(W94)&lt;10),"",(V94-1)/4*100)</f>
        <v/>
      </c>
      <c r="AH94" s="47" t="str">
        <f aca="false">IF($C94="","",COUNT(X94:AG94))</f>
        <v/>
      </c>
      <c r="AI94" s="47" t="str">
        <f aca="false">IF(OR($C94="",N(AH94)&lt;Parámetros!$B$18),"",(IF(ISNUMBER(X94),X94*Parámetros!$B$2,0)+IF(ISNUMBER(Y94),Y94*Parámetros!$B$3,0)+IF(ISNUMBER(Z94),Z94*Parámetros!$B$4,0)+IF(ISNUMBER(AA94),AA94*Parámetros!$B$5,0)+IF(ISNUMBER(AB94),AB94*Parámetros!$B$6,0)+IF(ISNUMBER(AC94),AC94*Parámetros!$B$7,0)+IF(ISNUMBER(AD94),AD94*Parámetros!$B$8,0)+IF(ISNUMBER(AE94),AE94*Parámetros!$B$9,0)+IF(ISNUMBER(AF94),AF94*Parámetros!$B$10,0)+IF(ISNUMBER(AG94),AG94*Parámetros!$B$11,0))/(IF(ISNUMBER(X94),Parámetros!$B$2,0)+IF(ISNUMBER(Y94),Parámetros!$B$3,0)+IF(ISNUMBER(Z94),Parámetros!$B$4,0)+IF(ISNUMBER(AA94),Parámetros!$B$5,0)+IF(ISNUMBER(AB94),Parámetros!$B$6,0)+IF(ISNUMBER(AC94),Parámetros!$B$7,0)+IF(ISNUMBER(AD94),Parámetros!$B$8,0)+IF(ISNUMBER(AE94),Parámetros!$B$9,0)+IF(ISNUMBER(AF94),Parámetros!$B$10,0)+IF(ISNUMBER(AG94),Parámetros!$B$11,0)))</f>
        <v/>
      </c>
      <c r="AJ94" s="47" t="n">
        <f aca="false">IF(AND(ISNUMBER(Y94),N(Y94)&lt;60),69.9,IF(OR(AND(ISNUMBER(AE94),N(AE94)&lt;80),AND(ISNUMBER(AC94),N(AC94)&lt;50,N(O94)&gt;=2)),84.9,100))</f>
        <v>100</v>
      </c>
      <c r="AK94" s="47" t="str">
        <f aca="false">IF(AI94="","",MIN(AI94,AJ94))</f>
        <v/>
      </c>
      <c r="AL94" s="47" t="str">
        <f aca="false">IF($C94="","",IF(AK94="","Gris — menos de 3 fuentes",IF(AND(AK94&lt;Parámetros!$B$14,N94&lt;&gt;"",N(N94)&lt;Parámetros!$B$15,N(Y94)&gt;=60),"Gris — repetir observación",IF(AK94&gt;=Parámetros!$B$13,"Verde",IF(AK94&gt;=Parámetros!$B$14,"Amarillo","Rojo")))))</f>
        <v/>
      </c>
      <c r="AM94" s="47" t="str">
        <f aca="false">IF($C94="","",IF(AND(ISNUMBER(Y94),N(Y94)&lt;60),"Ejecución &lt; 60 %: rojo automático",IF(AND(ISNUMBER(AE94),N(AE94)&lt;80),"PIAR &lt; 80 %: máximo amarillo",IF(AND(ISNUMBER(AC94),N(AC94)&lt;50,N(O94)&gt;=2),"Observación &lt; 50: máximo amarillo",IF(AND(N94&lt;&gt;"",N(N94)&lt;Parámetros!$B$15),"κ &lt; 0,60: observación descartada, repetir","")))))</f>
        <v/>
      </c>
    </row>
    <row r="95" customFormat="false" ht="15" hidden="false" customHeight="fals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7" t="str">
        <f aca="false">IF(N(E95)&gt;0,MIN(100,F95/E95*100),"")</f>
        <v/>
      </c>
      <c r="Y95" s="47" t="str">
        <f aca="false">IF(N(G95)&gt;0,MIN(100,H95/G95*100),"")</f>
        <v/>
      </c>
      <c r="Z95" s="47" t="str">
        <f aca="false">IF(N(I95)&gt;0,MIN(100,J95/I95*100),"")</f>
        <v/>
      </c>
      <c r="AA95" s="47" t="str">
        <f aca="false">IF(K95="","",K95/24*100)</f>
        <v/>
      </c>
      <c r="AB95" s="47" t="str">
        <f aca="false">IF(L95="","",L95/3*100)</f>
        <v/>
      </c>
      <c r="AC95" s="47" t="str">
        <f aca="false">IF(OR(M95="",AND(N95&lt;&gt;"",N(N95)&lt;Parámetros!$B$15)),"",MAX(0,MIN(100,(M95-1)/4*100)))</f>
        <v/>
      </c>
      <c r="AD95" s="47" t="str">
        <f aca="false">IF(OR(P95="",N(Q95)=0),"",MAX(0,MIN(100,((Q95/(Q95+Parámetros!$B$16))*P95+(Parámetros!$B$16/(Q95+Parámetros!$B$16))*Parámetros!$B$17-0.1)/0.4*100)))</f>
        <v/>
      </c>
      <c r="AE95" s="47" t="str">
        <f aca="false">IF(N(R95)&gt;0,MIN(100,S95/R95*100),"")</f>
        <v/>
      </c>
      <c r="AF95" s="47" t="str">
        <f aca="false">IF(N(U95)&gt;0,MIN(100,T95/(U95*5)*100),"")</f>
        <v/>
      </c>
      <c r="AG95" s="47" t="str">
        <f aca="false">IF(OR(V95="",N(W95)&lt;10),"",(V95-1)/4*100)</f>
        <v/>
      </c>
      <c r="AH95" s="47" t="str">
        <f aca="false">IF($C95="","",COUNT(X95:AG95))</f>
        <v/>
      </c>
      <c r="AI95" s="47" t="str">
        <f aca="false">IF(OR($C95="",N(AH95)&lt;Parámetros!$B$18),"",(IF(ISNUMBER(X95),X95*Parámetros!$B$2,0)+IF(ISNUMBER(Y95),Y95*Parámetros!$B$3,0)+IF(ISNUMBER(Z95),Z95*Parámetros!$B$4,0)+IF(ISNUMBER(AA95),AA95*Parámetros!$B$5,0)+IF(ISNUMBER(AB95),AB95*Parámetros!$B$6,0)+IF(ISNUMBER(AC95),AC95*Parámetros!$B$7,0)+IF(ISNUMBER(AD95),AD95*Parámetros!$B$8,0)+IF(ISNUMBER(AE95),AE95*Parámetros!$B$9,0)+IF(ISNUMBER(AF95),AF95*Parámetros!$B$10,0)+IF(ISNUMBER(AG95),AG95*Parámetros!$B$11,0))/(IF(ISNUMBER(X95),Parámetros!$B$2,0)+IF(ISNUMBER(Y95),Parámetros!$B$3,0)+IF(ISNUMBER(Z95),Parámetros!$B$4,0)+IF(ISNUMBER(AA95),Parámetros!$B$5,0)+IF(ISNUMBER(AB95),Parámetros!$B$6,0)+IF(ISNUMBER(AC95),Parámetros!$B$7,0)+IF(ISNUMBER(AD95),Parámetros!$B$8,0)+IF(ISNUMBER(AE95),Parámetros!$B$9,0)+IF(ISNUMBER(AF95),Parámetros!$B$10,0)+IF(ISNUMBER(AG95),Parámetros!$B$11,0)))</f>
        <v/>
      </c>
      <c r="AJ95" s="47" t="n">
        <f aca="false">IF(AND(ISNUMBER(Y95),N(Y95)&lt;60),69.9,IF(OR(AND(ISNUMBER(AE95),N(AE95)&lt;80),AND(ISNUMBER(AC95),N(AC95)&lt;50,N(O95)&gt;=2)),84.9,100))</f>
        <v>100</v>
      </c>
      <c r="AK95" s="47" t="str">
        <f aca="false">IF(AI95="","",MIN(AI95,AJ95))</f>
        <v/>
      </c>
      <c r="AL95" s="47" t="str">
        <f aca="false">IF($C95="","",IF(AK95="","Gris — menos de 3 fuentes",IF(AND(AK95&lt;Parámetros!$B$14,N95&lt;&gt;"",N(N95)&lt;Parámetros!$B$15,N(Y95)&gt;=60),"Gris — repetir observación",IF(AK95&gt;=Parámetros!$B$13,"Verde",IF(AK95&gt;=Parámetros!$B$14,"Amarillo","Rojo")))))</f>
        <v/>
      </c>
      <c r="AM95" s="47" t="str">
        <f aca="false">IF($C95="","",IF(AND(ISNUMBER(Y95),N(Y95)&lt;60),"Ejecución &lt; 60 %: rojo automático",IF(AND(ISNUMBER(AE95),N(AE95)&lt;80),"PIAR &lt; 80 %: máximo amarillo",IF(AND(ISNUMBER(AC95),N(AC95)&lt;50,N(O95)&gt;=2),"Observación &lt; 50: máximo amarillo",IF(AND(N95&lt;&gt;"",N(N95)&lt;Parámetros!$B$15),"κ &lt; 0,60: observación descartada, repetir","")))))</f>
        <v/>
      </c>
    </row>
    <row r="96" customFormat="false" ht="15" hidden="false" customHeight="fals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7" t="str">
        <f aca="false">IF(N(E96)&gt;0,MIN(100,F96/E96*100),"")</f>
        <v/>
      </c>
      <c r="Y96" s="47" t="str">
        <f aca="false">IF(N(G96)&gt;0,MIN(100,H96/G96*100),"")</f>
        <v/>
      </c>
      <c r="Z96" s="47" t="str">
        <f aca="false">IF(N(I96)&gt;0,MIN(100,J96/I96*100),"")</f>
        <v/>
      </c>
      <c r="AA96" s="47" t="str">
        <f aca="false">IF(K96="","",K96/24*100)</f>
        <v/>
      </c>
      <c r="AB96" s="47" t="str">
        <f aca="false">IF(L96="","",L96/3*100)</f>
        <v/>
      </c>
      <c r="AC96" s="47" t="str">
        <f aca="false">IF(OR(M96="",AND(N96&lt;&gt;"",N(N96)&lt;Parámetros!$B$15)),"",MAX(0,MIN(100,(M96-1)/4*100)))</f>
        <v/>
      </c>
      <c r="AD96" s="47" t="str">
        <f aca="false">IF(OR(P96="",N(Q96)=0),"",MAX(0,MIN(100,((Q96/(Q96+Parámetros!$B$16))*P96+(Parámetros!$B$16/(Q96+Parámetros!$B$16))*Parámetros!$B$17-0.1)/0.4*100)))</f>
        <v/>
      </c>
      <c r="AE96" s="47" t="str">
        <f aca="false">IF(N(R96)&gt;0,MIN(100,S96/R96*100),"")</f>
        <v/>
      </c>
      <c r="AF96" s="47" t="str">
        <f aca="false">IF(N(U96)&gt;0,MIN(100,T96/(U96*5)*100),"")</f>
        <v/>
      </c>
      <c r="AG96" s="47" t="str">
        <f aca="false">IF(OR(V96="",N(W96)&lt;10),"",(V96-1)/4*100)</f>
        <v/>
      </c>
      <c r="AH96" s="47" t="str">
        <f aca="false">IF($C96="","",COUNT(X96:AG96))</f>
        <v/>
      </c>
      <c r="AI96" s="47" t="str">
        <f aca="false">IF(OR($C96="",N(AH96)&lt;Parámetros!$B$18),"",(IF(ISNUMBER(X96),X96*Parámetros!$B$2,0)+IF(ISNUMBER(Y96),Y96*Parámetros!$B$3,0)+IF(ISNUMBER(Z96),Z96*Parámetros!$B$4,0)+IF(ISNUMBER(AA96),AA96*Parámetros!$B$5,0)+IF(ISNUMBER(AB96),AB96*Parámetros!$B$6,0)+IF(ISNUMBER(AC96),AC96*Parámetros!$B$7,0)+IF(ISNUMBER(AD96),AD96*Parámetros!$B$8,0)+IF(ISNUMBER(AE96),AE96*Parámetros!$B$9,0)+IF(ISNUMBER(AF96),AF96*Parámetros!$B$10,0)+IF(ISNUMBER(AG96),AG96*Parámetros!$B$11,0))/(IF(ISNUMBER(X96),Parámetros!$B$2,0)+IF(ISNUMBER(Y96),Parámetros!$B$3,0)+IF(ISNUMBER(Z96),Parámetros!$B$4,0)+IF(ISNUMBER(AA96),Parámetros!$B$5,0)+IF(ISNUMBER(AB96),Parámetros!$B$6,0)+IF(ISNUMBER(AC96),Parámetros!$B$7,0)+IF(ISNUMBER(AD96),Parámetros!$B$8,0)+IF(ISNUMBER(AE96),Parámetros!$B$9,0)+IF(ISNUMBER(AF96),Parámetros!$B$10,0)+IF(ISNUMBER(AG96),Parámetros!$B$11,0)))</f>
        <v/>
      </c>
      <c r="AJ96" s="47" t="n">
        <f aca="false">IF(AND(ISNUMBER(Y96),N(Y96)&lt;60),69.9,IF(OR(AND(ISNUMBER(AE96),N(AE96)&lt;80),AND(ISNUMBER(AC96),N(AC96)&lt;50,N(O96)&gt;=2)),84.9,100))</f>
        <v>100</v>
      </c>
      <c r="AK96" s="47" t="str">
        <f aca="false">IF(AI96="","",MIN(AI96,AJ96))</f>
        <v/>
      </c>
      <c r="AL96" s="47" t="str">
        <f aca="false">IF($C96="","",IF(AK96="","Gris — menos de 3 fuentes",IF(AND(AK96&lt;Parámetros!$B$14,N96&lt;&gt;"",N(N96)&lt;Parámetros!$B$15,N(Y96)&gt;=60),"Gris — repetir observación",IF(AK96&gt;=Parámetros!$B$13,"Verde",IF(AK96&gt;=Parámetros!$B$14,"Amarillo","Rojo")))))</f>
        <v/>
      </c>
      <c r="AM96" s="47" t="str">
        <f aca="false">IF($C96="","",IF(AND(ISNUMBER(Y96),N(Y96)&lt;60),"Ejecución &lt; 60 %: rojo automático",IF(AND(ISNUMBER(AE96),N(AE96)&lt;80),"PIAR &lt; 80 %: máximo amarillo",IF(AND(ISNUMBER(AC96),N(AC96)&lt;50,N(O96)&gt;=2),"Observación &lt; 50: máximo amarillo",IF(AND(N96&lt;&gt;"",N(N96)&lt;Parámetros!$B$15),"κ &lt; 0,60: observación descartada, repetir","")))))</f>
        <v/>
      </c>
    </row>
    <row r="97" customFormat="false" ht="15" hidden="false" customHeight="fals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7" t="str">
        <f aca="false">IF(N(E97)&gt;0,MIN(100,F97/E97*100),"")</f>
        <v/>
      </c>
      <c r="Y97" s="47" t="str">
        <f aca="false">IF(N(G97)&gt;0,MIN(100,H97/G97*100),"")</f>
        <v/>
      </c>
      <c r="Z97" s="47" t="str">
        <f aca="false">IF(N(I97)&gt;0,MIN(100,J97/I97*100),"")</f>
        <v/>
      </c>
      <c r="AA97" s="47" t="str">
        <f aca="false">IF(K97="","",K97/24*100)</f>
        <v/>
      </c>
      <c r="AB97" s="47" t="str">
        <f aca="false">IF(L97="","",L97/3*100)</f>
        <v/>
      </c>
      <c r="AC97" s="47" t="str">
        <f aca="false">IF(OR(M97="",AND(N97&lt;&gt;"",N(N97)&lt;Parámetros!$B$15)),"",MAX(0,MIN(100,(M97-1)/4*100)))</f>
        <v/>
      </c>
      <c r="AD97" s="47" t="str">
        <f aca="false">IF(OR(P97="",N(Q97)=0),"",MAX(0,MIN(100,((Q97/(Q97+Parámetros!$B$16))*P97+(Parámetros!$B$16/(Q97+Parámetros!$B$16))*Parámetros!$B$17-0.1)/0.4*100)))</f>
        <v/>
      </c>
      <c r="AE97" s="47" t="str">
        <f aca="false">IF(N(R97)&gt;0,MIN(100,S97/R97*100),"")</f>
        <v/>
      </c>
      <c r="AF97" s="47" t="str">
        <f aca="false">IF(N(U97)&gt;0,MIN(100,T97/(U97*5)*100),"")</f>
        <v/>
      </c>
      <c r="AG97" s="47" t="str">
        <f aca="false">IF(OR(V97="",N(W97)&lt;10),"",(V97-1)/4*100)</f>
        <v/>
      </c>
      <c r="AH97" s="47" t="str">
        <f aca="false">IF($C97="","",COUNT(X97:AG97))</f>
        <v/>
      </c>
      <c r="AI97" s="47" t="str">
        <f aca="false">IF(OR($C97="",N(AH97)&lt;Parámetros!$B$18),"",(IF(ISNUMBER(X97),X97*Parámetros!$B$2,0)+IF(ISNUMBER(Y97),Y97*Parámetros!$B$3,0)+IF(ISNUMBER(Z97),Z97*Parámetros!$B$4,0)+IF(ISNUMBER(AA97),AA97*Parámetros!$B$5,0)+IF(ISNUMBER(AB97),AB97*Parámetros!$B$6,0)+IF(ISNUMBER(AC97),AC97*Parámetros!$B$7,0)+IF(ISNUMBER(AD97),AD97*Parámetros!$B$8,0)+IF(ISNUMBER(AE97),AE97*Parámetros!$B$9,0)+IF(ISNUMBER(AF97),AF97*Parámetros!$B$10,0)+IF(ISNUMBER(AG97),AG97*Parámetros!$B$11,0))/(IF(ISNUMBER(X97),Parámetros!$B$2,0)+IF(ISNUMBER(Y97),Parámetros!$B$3,0)+IF(ISNUMBER(Z97),Parámetros!$B$4,0)+IF(ISNUMBER(AA97),Parámetros!$B$5,0)+IF(ISNUMBER(AB97),Parámetros!$B$6,0)+IF(ISNUMBER(AC97),Parámetros!$B$7,0)+IF(ISNUMBER(AD97),Parámetros!$B$8,0)+IF(ISNUMBER(AE97),Parámetros!$B$9,0)+IF(ISNUMBER(AF97),Parámetros!$B$10,0)+IF(ISNUMBER(AG97),Parámetros!$B$11,0)))</f>
        <v/>
      </c>
      <c r="AJ97" s="47" t="n">
        <f aca="false">IF(AND(ISNUMBER(Y97),N(Y97)&lt;60),69.9,IF(OR(AND(ISNUMBER(AE97),N(AE97)&lt;80),AND(ISNUMBER(AC97),N(AC97)&lt;50,N(O97)&gt;=2)),84.9,100))</f>
        <v>100</v>
      </c>
      <c r="AK97" s="47" t="str">
        <f aca="false">IF(AI97="","",MIN(AI97,AJ97))</f>
        <v/>
      </c>
      <c r="AL97" s="47" t="str">
        <f aca="false">IF($C97="","",IF(AK97="","Gris — menos de 3 fuentes",IF(AND(AK97&lt;Parámetros!$B$14,N97&lt;&gt;"",N(N97)&lt;Parámetros!$B$15,N(Y97)&gt;=60),"Gris — repetir observación",IF(AK97&gt;=Parámetros!$B$13,"Verde",IF(AK97&gt;=Parámetros!$B$14,"Amarillo","Rojo")))))</f>
        <v/>
      </c>
      <c r="AM97" s="47" t="str">
        <f aca="false">IF($C97="","",IF(AND(ISNUMBER(Y97),N(Y97)&lt;60),"Ejecución &lt; 60 %: rojo automático",IF(AND(ISNUMBER(AE97),N(AE97)&lt;80),"PIAR &lt; 80 %: máximo amarillo",IF(AND(ISNUMBER(AC97),N(AC97)&lt;50,N(O97)&gt;=2),"Observación &lt; 50: máximo amarillo",IF(AND(N97&lt;&gt;"",N(N97)&lt;Parámetros!$B$15),"κ &lt; 0,60: observación descartada, repetir","")))))</f>
        <v/>
      </c>
    </row>
    <row r="98" customFormat="false" ht="15" hidden="false" customHeight="fals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7" t="str">
        <f aca="false">IF(N(E98)&gt;0,MIN(100,F98/E98*100),"")</f>
        <v/>
      </c>
      <c r="Y98" s="47" t="str">
        <f aca="false">IF(N(G98)&gt;0,MIN(100,H98/G98*100),"")</f>
        <v/>
      </c>
      <c r="Z98" s="47" t="str">
        <f aca="false">IF(N(I98)&gt;0,MIN(100,J98/I98*100),"")</f>
        <v/>
      </c>
      <c r="AA98" s="47" t="str">
        <f aca="false">IF(K98="","",K98/24*100)</f>
        <v/>
      </c>
      <c r="AB98" s="47" t="str">
        <f aca="false">IF(L98="","",L98/3*100)</f>
        <v/>
      </c>
      <c r="AC98" s="47" t="str">
        <f aca="false">IF(OR(M98="",AND(N98&lt;&gt;"",N(N98)&lt;Parámetros!$B$15)),"",MAX(0,MIN(100,(M98-1)/4*100)))</f>
        <v/>
      </c>
      <c r="AD98" s="47" t="str">
        <f aca="false">IF(OR(P98="",N(Q98)=0),"",MAX(0,MIN(100,((Q98/(Q98+Parámetros!$B$16))*P98+(Parámetros!$B$16/(Q98+Parámetros!$B$16))*Parámetros!$B$17-0.1)/0.4*100)))</f>
        <v/>
      </c>
      <c r="AE98" s="47" t="str">
        <f aca="false">IF(N(R98)&gt;0,MIN(100,S98/R98*100),"")</f>
        <v/>
      </c>
      <c r="AF98" s="47" t="str">
        <f aca="false">IF(N(U98)&gt;0,MIN(100,T98/(U98*5)*100),"")</f>
        <v/>
      </c>
      <c r="AG98" s="47" t="str">
        <f aca="false">IF(OR(V98="",N(W98)&lt;10),"",(V98-1)/4*100)</f>
        <v/>
      </c>
      <c r="AH98" s="47" t="str">
        <f aca="false">IF($C98="","",COUNT(X98:AG98))</f>
        <v/>
      </c>
      <c r="AI98" s="47" t="str">
        <f aca="false">IF(OR($C98="",N(AH98)&lt;Parámetros!$B$18),"",(IF(ISNUMBER(X98),X98*Parámetros!$B$2,0)+IF(ISNUMBER(Y98),Y98*Parámetros!$B$3,0)+IF(ISNUMBER(Z98),Z98*Parámetros!$B$4,0)+IF(ISNUMBER(AA98),AA98*Parámetros!$B$5,0)+IF(ISNUMBER(AB98),AB98*Parámetros!$B$6,0)+IF(ISNUMBER(AC98),AC98*Parámetros!$B$7,0)+IF(ISNUMBER(AD98),AD98*Parámetros!$B$8,0)+IF(ISNUMBER(AE98),AE98*Parámetros!$B$9,0)+IF(ISNUMBER(AF98),AF98*Parámetros!$B$10,0)+IF(ISNUMBER(AG98),AG98*Parámetros!$B$11,0))/(IF(ISNUMBER(X98),Parámetros!$B$2,0)+IF(ISNUMBER(Y98),Parámetros!$B$3,0)+IF(ISNUMBER(Z98),Parámetros!$B$4,0)+IF(ISNUMBER(AA98),Parámetros!$B$5,0)+IF(ISNUMBER(AB98),Parámetros!$B$6,0)+IF(ISNUMBER(AC98),Parámetros!$B$7,0)+IF(ISNUMBER(AD98),Parámetros!$B$8,0)+IF(ISNUMBER(AE98),Parámetros!$B$9,0)+IF(ISNUMBER(AF98),Parámetros!$B$10,0)+IF(ISNUMBER(AG98),Parámetros!$B$11,0)))</f>
        <v/>
      </c>
      <c r="AJ98" s="47" t="n">
        <f aca="false">IF(AND(ISNUMBER(Y98),N(Y98)&lt;60),69.9,IF(OR(AND(ISNUMBER(AE98),N(AE98)&lt;80),AND(ISNUMBER(AC98),N(AC98)&lt;50,N(O98)&gt;=2)),84.9,100))</f>
        <v>100</v>
      </c>
      <c r="AK98" s="47" t="str">
        <f aca="false">IF(AI98="","",MIN(AI98,AJ98))</f>
        <v/>
      </c>
      <c r="AL98" s="47" t="str">
        <f aca="false">IF($C98="","",IF(AK98="","Gris — menos de 3 fuentes",IF(AND(AK98&lt;Parámetros!$B$14,N98&lt;&gt;"",N(N98)&lt;Parámetros!$B$15,N(Y98)&gt;=60),"Gris — repetir observación",IF(AK98&gt;=Parámetros!$B$13,"Verde",IF(AK98&gt;=Parámetros!$B$14,"Amarillo","Rojo")))))</f>
        <v/>
      </c>
      <c r="AM98" s="47" t="str">
        <f aca="false">IF($C98="","",IF(AND(ISNUMBER(Y98),N(Y98)&lt;60),"Ejecución &lt; 60 %: rojo automático",IF(AND(ISNUMBER(AE98),N(AE98)&lt;80),"PIAR &lt; 80 %: máximo amarillo",IF(AND(ISNUMBER(AC98),N(AC98)&lt;50,N(O98)&gt;=2),"Observación &lt; 50: máximo amarillo",IF(AND(N98&lt;&gt;"",N(N98)&lt;Parámetros!$B$15),"κ &lt; 0,60: observación descartada, repetir","")))))</f>
        <v/>
      </c>
    </row>
    <row r="99" customFormat="false" ht="15" hidden="false" customHeight="fals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7" t="str">
        <f aca="false">IF(N(E99)&gt;0,MIN(100,F99/E99*100),"")</f>
        <v/>
      </c>
      <c r="Y99" s="47" t="str">
        <f aca="false">IF(N(G99)&gt;0,MIN(100,H99/G99*100),"")</f>
        <v/>
      </c>
      <c r="Z99" s="47" t="str">
        <f aca="false">IF(N(I99)&gt;0,MIN(100,J99/I99*100),"")</f>
        <v/>
      </c>
      <c r="AA99" s="47" t="str">
        <f aca="false">IF(K99="","",K99/24*100)</f>
        <v/>
      </c>
      <c r="AB99" s="47" t="str">
        <f aca="false">IF(L99="","",L99/3*100)</f>
        <v/>
      </c>
      <c r="AC99" s="47" t="str">
        <f aca="false">IF(OR(M99="",AND(N99&lt;&gt;"",N(N99)&lt;Parámetros!$B$15)),"",MAX(0,MIN(100,(M99-1)/4*100)))</f>
        <v/>
      </c>
      <c r="AD99" s="47" t="str">
        <f aca="false">IF(OR(P99="",N(Q99)=0),"",MAX(0,MIN(100,((Q99/(Q99+Parámetros!$B$16))*P99+(Parámetros!$B$16/(Q99+Parámetros!$B$16))*Parámetros!$B$17-0.1)/0.4*100)))</f>
        <v/>
      </c>
      <c r="AE99" s="47" t="str">
        <f aca="false">IF(N(R99)&gt;0,MIN(100,S99/R99*100),"")</f>
        <v/>
      </c>
      <c r="AF99" s="47" t="str">
        <f aca="false">IF(N(U99)&gt;0,MIN(100,T99/(U99*5)*100),"")</f>
        <v/>
      </c>
      <c r="AG99" s="47" t="str">
        <f aca="false">IF(OR(V99="",N(W99)&lt;10),"",(V99-1)/4*100)</f>
        <v/>
      </c>
      <c r="AH99" s="47" t="str">
        <f aca="false">IF($C99="","",COUNT(X99:AG99))</f>
        <v/>
      </c>
      <c r="AI99" s="47" t="str">
        <f aca="false">IF(OR($C99="",N(AH99)&lt;Parámetros!$B$18),"",(IF(ISNUMBER(X99),X99*Parámetros!$B$2,0)+IF(ISNUMBER(Y99),Y99*Parámetros!$B$3,0)+IF(ISNUMBER(Z99),Z99*Parámetros!$B$4,0)+IF(ISNUMBER(AA99),AA99*Parámetros!$B$5,0)+IF(ISNUMBER(AB99),AB99*Parámetros!$B$6,0)+IF(ISNUMBER(AC99),AC99*Parámetros!$B$7,0)+IF(ISNUMBER(AD99),AD99*Parámetros!$B$8,0)+IF(ISNUMBER(AE99),AE99*Parámetros!$B$9,0)+IF(ISNUMBER(AF99),AF99*Parámetros!$B$10,0)+IF(ISNUMBER(AG99),AG99*Parámetros!$B$11,0))/(IF(ISNUMBER(X99),Parámetros!$B$2,0)+IF(ISNUMBER(Y99),Parámetros!$B$3,0)+IF(ISNUMBER(Z99),Parámetros!$B$4,0)+IF(ISNUMBER(AA99),Parámetros!$B$5,0)+IF(ISNUMBER(AB99),Parámetros!$B$6,0)+IF(ISNUMBER(AC99),Parámetros!$B$7,0)+IF(ISNUMBER(AD99),Parámetros!$B$8,0)+IF(ISNUMBER(AE99),Parámetros!$B$9,0)+IF(ISNUMBER(AF99),Parámetros!$B$10,0)+IF(ISNUMBER(AG99),Parámetros!$B$11,0)))</f>
        <v/>
      </c>
      <c r="AJ99" s="47" t="n">
        <f aca="false">IF(AND(ISNUMBER(Y99),N(Y99)&lt;60),69.9,IF(OR(AND(ISNUMBER(AE99),N(AE99)&lt;80),AND(ISNUMBER(AC99),N(AC99)&lt;50,N(O99)&gt;=2)),84.9,100))</f>
        <v>100</v>
      </c>
      <c r="AK99" s="47" t="str">
        <f aca="false">IF(AI99="","",MIN(AI99,AJ99))</f>
        <v/>
      </c>
      <c r="AL99" s="47" t="str">
        <f aca="false">IF($C99="","",IF(AK99="","Gris — menos de 3 fuentes",IF(AND(AK99&lt;Parámetros!$B$14,N99&lt;&gt;"",N(N99)&lt;Parámetros!$B$15,N(Y99)&gt;=60),"Gris — repetir observación",IF(AK99&gt;=Parámetros!$B$13,"Verde",IF(AK99&gt;=Parámetros!$B$14,"Amarillo","Rojo")))))</f>
        <v/>
      </c>
      <c r="AM99" s="47" t="str">
        <f aca="false">IF($C99="","",IF(AND(ISNUMBER(Y99),N(Y99)&lt;60),"Ejecución &lt; 60 %: rojo automático",IF(AND(ISNUMBER(AE99),N(AE99)&lt;80),"PIAR &lt; 80 %: máximo amarillo",IF(AND(ISNUMBER(AC99),N(AC99)&lt;50,N(O99)&gt;=2),"Observación &lt; 50: máximo amarillo",IF(AND(N99&lt;&gt;"",N(N99)&lt;Parámetros!$B$15),"κ &lt; 0,60: observación descartada, repetir","")))))</f>
        <v/>
      </c>
    </row>
    <row r="100" customFormat="false" ht="15" hidden="false" customHeight="fals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7" t="str">
        <f aca="false">IF(N(E100)&gt;0,MIN(100,F100/E100*100),"")</f>
        <v/>
      </c>
      <c r="Y100" s="47" t="str">
        <f aca="false">IF(N(G100)&gt;0,MIN(100,H100/G100*100),"")</f>
        <v/>
      </c>
      <c r="Z100" s="47" t="str">
        <f aca="false">IF(N(I100)&gt;0,MIN(100,J100/I100*100),"")</f>
        <v/>
      </c>
      <c r="AA100" s="47" t="str">
        <f aca="false">IF(K100="","",K100/24*100)</f>
        <v/>
      </c>
      <c r="AB100" s="47" t="str">
        <f aca="false">IF(L100="","",L100/3*100)</f>
        <v/>
      </c>
      <c r="AC100" s="47" t="str">
        <f aca="false">IF(OR(M100="",AND(N100&lt;&gt;"",N(N100)&lt;Parámetros!$B$15)),"",MAX(0,MIN(100,(M100-1)/4*100)))</f>
        <v/>
      </c>
      <c r="AD100" s="47" t="str">
        <f aca="false">IF(OR(P100="",N(Q100)=0),"",MAX(0,MIN(100,((Q100/(Q100+Parámetros!$B$16))*P100+(Parámetros!$B$16/(Q100+Parámetros!$B$16))*Parámetros!$B$17-0.1)/0.4*100)))</f>
        <v/>
      </c>
      <c r="AE100" s="47" t="str">
        <f aca="false">IF(N(R100)&gt;0,MIN(100,S100/R100*100),"")</f>
        <v/>
      </c>
      <c r="AF100" s="47" t="str">
        <f aca="false">IF(N(U100)&gt;0,MIN(100,T100/(U100*5)*100),"")</f>
        <v/>
      </c>
      <c r="AG100" s="47" t="str">
        <f aca="false">IF(OR(V100="",N(W100)&lt;10),"",(V100-1)/4*100)</f>
        <v/>
      </c>
      <c r="AH100" s="47" t="str">
        <f aca="false">IF($C100="","",COUNT(X100:AG100))</f>
        <v/>
      </c>
      <c r="AI100" s="47" t="str">
        <f aca="false">IF(OR($C100="",N(AH100)&lt;Parámetros!$B$18),"",(IF(ISNUMBER(X100),X100*Parámetros!$B$2,0)+IF(ISNUMBER(Y100),Y100*Parámetros!$B$3,0)+IF(ISNUMBER(Z100),Z100*Parámetros!$B$4,0)+IF(ISNUMBER(AA100),AA100*Parámetros!$B$5,0)+IF(ISNUMBER(AB100),AB100*Parámetros!$B$6,0)+IF(ISNUMBER(AC100),AC100*Parámetros!$B$7,0)+IF(ISNUMBER(AD100),AD100*Parámetros!$B$8,0)+IF(ISNUMBER(AE100),AE100*Parámetros!$B$9,0)+IF(ISNUMBER(AF100),AF100*Parámetros!$B$10,0)+IF(ISNUMBER(AG100),AG100*Parámetros!$B$11,0))/(IF(ISNUMBER(X100),Parámetros!$B$2,0)+IF(ISNUMBER(Y100),Parámetros!$B$3,0)+IF(ISNUMBER(Z100),Parámetros!$B$4,0)+IF(ISNUMBER(AA100),Parámetros!$B$5,0)+IF(ISNUMBER(AB100),Parámetros!$B$6,0)+IF(ISNUMBER(AC100),Parámetros!$B$7,0)+IF(ISNUMBER(AD100),Parámetros!$B$8,0)+IF(ISNUMBER(AE100),Parámetros!$B$9,0)+IF(ISNUMBER(AF100),Parámetros!$B$10,0)+IF(ISNUMBER(AG100),Parámetros!$B$11,0)))</f>
        <v/>
      </c>
      <c r="AJ100" s="47" t="n">
        <f aca="false">IF(AND(ISNUMBER(Y100),N(Y100)&lt;60),69.9,IF(OR(AND(ISNUMBER(AE100),N(AE100)&lt;80),AND(ISNUMBER(AC100),N(AC100)&lt;50,N(O100)&gt;=2)),84.9,100))</f>
        <v>100</v>
      </c>
      <c r="AK100" s="47" t="str">
        <f aca="false">IF(AI100="","",MIN(AI100,AJ100))</f>
        <v/>
      </c>
      <c r="AL100" s="47" t="str">
        <f aca="false">IF($C100="","",IF(AK100="","Gris — menos de 3 fuentes",IF(AND(AK100&lt;Parámetros!$B$14,N100&lt;&gt;"",N(N100)&lt;Parámetros!$B$15,N(Y100)&gt;=60),"Gris — repetir observación",IF(AK100&gt;=Parámetros!$B$13,"Verde",IF(AK100&gt;=Parámetros!$B$14,"Amarillo","Rojo")))))</f>
        <v/>
      </c>
      <c r="AM100" s="47" t="str">
        <f aca="false">IF($C100="","",IF(AND(ISNUMBER(Y100),N(Y100)&lt;60),"Ejecución &lt; 60 %: rojo automático",IF(AND(ISNUMBER(AE100),N(AE100)&lt;80),"PIAR &lt; 80 %: máximo amarillo",IF(AND(ISNUMBER(AC100),N(AC100)&lt;50,N(O100)&gt;=2),"Observación &lt; 50: máximo amarillo",IF(AND(N100&lt;&gt;"",N(N100)&lt;Parámetros!$B$15),"κ &lt; 0,60: observación descartada, repetir","")))))</f>
        <v/>
      </c>
    </row>
    <row r="101" customFormat="false" ht="15" hidden="false" customHeight="fals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7" t="str">
        <f aca="false">IF(N(E101)&gt;0,MIN(100,F101/E101*100),"")</f>
        <v/>
      </c>
      <c r="Y101" s="47" t="str">
        <f aca="false">IF(N(G101)&gt;0,MIN(100,H101/G101*100),"")</f>
        <v/>
      </c>
      <c r="Z101" s="47" t="str">
        <f aca="false">IF(N(I101)&gt;0,MIN(100,J101/I101*100),"")</f>
        <v/>
      </c>
      <c r="AA101" s="47" t="str">
        <f aca="false">IF(K101="","",K101/24*100)</f>
        <v/>
      </c>
      <c r="AB101" s="47" t="str">
        <f aca="false">IF(L101="","",L101/3*100)</f>
        <v/>
      </c>
      <c r="AC101" s="47" t="str">
        <f aca="false">IF(OR(M101="",AND(N101&lt;&gt;"",N(N101)&lt;Parámetros!$B$15)),"",MAX(0,MIN(100,(M101-1)/4*100)))</f>
        <v/>
      </c>
      <c r="AD101" s="47" t="str">
        <f aca="false">IF(OR(P101="",N(Q101)=0),"",MAX(0,MIN(100,((Q101/(Q101+Parámetros!$B$16))*P101+(Parámetros!$B$16/(Q101+Parámetros!$B$16))*Parámetros!$B$17-0.1)/0.4*100)))</f>
        <v/>
      </c>
      <c r="AE101" s="47" t="str">
        <f aca="false">IF(N(R101)&gt;0,MIN(100,S101/R101*100),"")</f>
        <v/>
      </c>
      <c r="AF101" s="47" t="str">
        <f aca="false">IF(N(U101)&gt;0,MIN(100,T101/(U101*5)*100),"")</f>
        <v/>
      </c>
      <c r="AG101" s="47" t="str">
        <f aca="false">IF(OR(V101="",N(W101)&lt;10),"",(V101-1)/4*100)</f>
        <v/>
      </c>
      <c r="AH101" s="47" t="str">
        <f aca="false">IF($C101="","",COUNT(X101:AG101))</f>
        <v/>
      </c>
      <c r="AI101" s="47" t="str">
        <f aca="false">IF(OR($C101="",N(AH101)&lt;Parámetros!$B$18),"",(IF(ISNUMBER(X101),X101*Parámetros!$B$2,0)+IF(ISNUMBER(Y101),Y101*Parámetros!$B$3,0)+IF(ISNUMBER(Z101),Z101*Parámetros!$B$4,0)+IF(ISNUMBER(AA101),AA101*Parámetros!$B$5,0)+IF(ISNUMBER(AB101),AB101*Parámetros!$B$6,0)+IF(ISNUMBER(AC101),AC101*Parámetros!$B$7,0)+IF(ISNUMBER(AD101),AD101*Parámetros!$B$8,0)+IF(ISNUMBER(AE101),AE101*Parámetros!$B$9,0)+IF(ISNUMBER(AF101),AF101*Parámetros!$B$10,0)+IF(ISNUMBER(AG101),AG101*Parámetros!$B$11,0))/(IF(ISNUMBER(X101),Parámetros!$B$2,0)+IF(ISNUMBER(Y101),Parámetros!$B$3,0)+IF(ISNUMBER(Z101),Parámetros!$B$4,0)+IF(ISNUMBER(AA101),Parámetros!$B$5,0)+IF(ISNUMBER(AB101),Parámetros!$B$6,0)+IF(ISNUMBER(AC101),Parámetros!$B$7,0)+IF(ISNUMBER(AD101),Parámetros!$B$8,0)+IF(ISNUMBER(AE101),Parámetros!$B$9,0)+IF(ISNUMBER(AF101),Parámetros!$B$10,0)+IF(ISNUMBER(AG101),Parámetros!$B$11,0)))</f>
        <v/>
      </c>
      <c r="AJ101" s="47" t="n">
        <f aca="false">IF(AND(ISNUMBER(Y101),N(Y101)&lt;60),69.9,IF(OR(AND(ISNUMBER(AE101),N(AE101)&lt;80),AND(ISNUMBER(AC101),N(AC101)&lt;50,N(O101)&gt;=2)),84.9,100))</f>
        <v>100</v>
      </c>
      <c r="AK101" s="47" t="str">
        <f aca="false">IF(AI101="","",MIN(AI101,AJ101))</f>
        <v/>
      </c>
      <c r="AL101" s="47" t="str">
        <f aca="false">IF($C101="","",IF(AK101="","Gris — menos de 3 fuentes",IF(AND(AK101&lt;Parámetros!$B$14,N101&lt;&gt;"",N(N101)&lt;Parámetros!$B$15,N(Y101)&gt;=60),"Gris — repetir observación",IF(AK101&gt;=Parámetros!$B$13,"Verde",IF(AK101&gt;=Parámetros!$B$14,"Amarillo","Rojo")))))</f>
        <v/>
      </c>
      <c r="AM101" s="47" t="str">
        <f aca="false">IF($C101="","",IF(AND(ISNUMBER(Y101),N(Y101)&lt;60),"Ejecución &lt; 60 %: rojo automático",IF(AND(ISNUMBER(AE101),N(AE101)&lt;80),"PIAR &lt; 80 %: máximo amarillo",IF(AND(ISNUMBER(AC101),N(AC101)&lt;50,N(O101)&gt;=2),"Observación &lt; 50: máximo amarillo",IF(AND(N101&lt;&gt;"",N(N101)&lt;Parámetros!$B$15),"κ &lt; 0,60: observación descartada, repetir","")))))</f>
        <v/>
      </c>
    </row>
    <row r="102" customFormat="false" ht="15" hidden="false" customHeight="fals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7" t="str">
        <f aca="false">IF(N(E102)&gt;0,MIN(100,F102/E102*100),"")</f>
        <v/>
      </c>
      <c r="Y102" s="47" t="str">
        <f aca="false">IF(N(G102)&gt;0,MIN(100,H102/G102*100),"")</f>
        <v/>
      </c>
      <c r="Z102" s="47" t="str">
        <f aca="false">IF(N(I102)&gt;0,MIN(100,J102/I102*100),"")</f>
        <v/>
      </c>
      <c r="AA102" s="47" t="str">
        <f aca="false">IF(K102="","",K102/24*100)</f>
        <v/>
      </c>
      <c r="AB102" s="47" t="str">
        <f aca="false">IF(L102="","",L102/3*100)</f>
        <v/>
      </c>
      <c r="AC102" s="47" t="str">
        <f aca="false">IF(OR(M102="",AND(N102&lt;&gt;"",N(N102)&lt;Parámetros!$B$15)),"",MAX(0,MIN(100,(M102-1)/4*100)))</f>
        <v/>
      </c>
      <c r="AD102" s="47" t="str">
        <f aca="false">IF(OR(P102="",N(Q102)=0),"",MAX(0,MIN(100,((Q102/(Q102+Parámetros!$B$16))*P102+(Parámetros!$B$16/(Q102+Parámetros!$B$16))*Parámetros!$B$17-0.1)/0.4*100)))</f>
        <v/>
      </c>
      <c r="AE102" s="47" t="str">
        <f aca="false">IF(N(R102)&gt;0,MIN(100,S102/R102*100),"")</f>
        <v/>
      </c>
      <c r="AF102" s="47" t="str">
        <f aca="false">IF(N(U102)&gt;0,MIN(100,T102/(U102*5)*100),"")</f>
        <v/>
      </c>
      <c r="AG102" s="47" t="str">
        <f aca="false">IF(OR(V102="",N(W102)&lt;10),"",(V102-1)/4*100)</f>
        <v/>
      </c>
      <c r="AH102" s="47" t="str">
        <f aca="false">IF($C102="","",COUNT(X102:AG102))</f>
        <v/>
      </c>
      <c r="AI102" s="47" t="str">
        <f aca="false">IF(OR($C102="",N(AH102)&lt;Parámetros!$B$18),"",(IF(ISNUMBER(X102),X102*Parámetros!$B$2,0)+IF(ISNUMBER(Y102),Y102*Parámetros!$B$3,0)+IF(ISNUMBER(Z102),Z102*Parámetros!$B$4,0)+IF(ISNUMBER(AA102),AA102*Parámetros!$B$5,0)+IF(ISNUMBER(AB102),AB102*Parámetros!$B$6,0)+IF(ISNUMBER(AC102),AC102*Parámetros!$B$7,0)+IF(ISNUMBER(AD102),AD102*Parámetros!$B$8,0)+IF(ISNUMBER(AE102),AE102*Parámetros!$B$9,0)+IF(ISNUMBER(AF102),AF102*Parámetros!$B$10,0)+IF(ISNUMBER(AG102),AG102*Parámetros!$B$11,0))/(IF(ISNUMBER(X102),Parámetros!$B$2,0)+IF(ISNUMBER(Y102),Parámetros!$B$3,0)+IF(ISNUMBER(Z102),Parámetros!$B$4,0)+IF(ISNUMBER(AA102),Parámetros!$B$5,0)+IF(ISNUMBER(AB102),Parámetros!$B$6,0)+IF(ISNUMBER(AC102),Parámetros!$B$7,0)+IF(ISNUMBER(AD102),Parámetros!$B$8,0)+IF(ISNUMBER(AE102),Parámetros!$B$9,0)+IF(ISNUMBER(AF102),Parámetros!$B$10,0)+IF(ISNUMBER(AG102),Parámetros!$B$11,0)))</f>
        <v/>
      </c>
      <c r="AJ102" s="47" t="n">
        <f aca="false">IF(AND(ISNUMBER(Y102),N(Y102)&lt;60),69.9,IF(OR(AND(ISNUMBER(AE102),N(AE102)&lt;80),AND(ISNUMBER(AC102),N(AC102)&lt;50,N(O102)&gt;=2)),84.9,100))</f>
        <v>100</v>
      </c>
      <c r="AK102" s="47" t="str">
        <f aca="false">IF(AI102="","",MIN(AI102,AJ102))</f>
        <v/>
      </c>
      <c r="AL102" s="47" t="str">
        <f aca="false">IF($C102="","",IF(AK102="","Gris — menos de 3 fuentes",IF(AND(AK102&lt;Parámetros!$B$14,N102&lt;&gt;"",N(N102)&lt;Parámetros!$B$15,N(Y102)&gt;=60),"Gris — repetir observación",IF(AK102&gt;=Parámetros!$B$13,"Verde",IF(AK102&gt;=Parámetros!$B$14,"Amarillo","Rojo")))))</f>
        <v/>
      </c>
      <c r="AM102" s="47" t="str">
        <f aca="false">IF($C102="","",IF(AND(ISNUMBER(Y102),N(Y102)&lt;60),"Ejecución &lt; 60 %: rojo automático",IF(AND(ISNUMBER(AE102),N(AE102)&lt;80),"PIAR &lt; 80 %: máximo amarillo",IF(AND(ISNUMBER(AC102),N(AC102)&lt;50,N(O102)&gt;=2),"Observación &lt; 50: máximo amarillo",IF(AND(N102&lt;&gt;"",N(N102)&lt;Parámetros!$B$15),"κ &lt; 0,60: observación descartada, repetir","")))))</f>
        <v/>
      </c>
    </row>
    <row r="103" customFormat="false" ht="15" hidden="false" customHeight="fals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7" t="str">
        <f aca="false">IF(N(E103)&gt;0,MIN(100,F103/E103*100),"")</f>
        <v/>
      </c>
      <c r="Y103" s="47" t="str">
        <f aca="false">IF(N(G103)&gt;0,MIN(100,H103/G103*100),"")</f>
        <v/>
      </c>
      <c r="Z103" s="47" t="str">
        <f aca="false">IF(N(I103)&gt;0,MIN(100,J103/I103*100),"")</f>
        <v/>
      </c>
      <c r="AA103" s="47" t="str">
        <f aca="false">IF(K103="","",K103/24*100)</f>
        <v/>
      </c>
      <c r="AB103" s="47" t="str">
        <f aca="false">IF(L103="","",L103/3*100)</f>
        <v/>
      </c>
      <c r="AC103" s="47" t="str">
        <f aca="false">IF(OR(M103="",AND(N103&lt;&gt;"",N(N103)&lt;Parámetros!$B$15)),"",MAX(0,MIN(100,(M103-1)/4*100)))</f>
        <v/>
      </c>
      <c r="AD103" s="47" t="str">
        <f aca="false">IF(OR(P103="",N(Q103)=0),"",MAX(0,MIN(100,((Q103/(Q103+Parámetros!$B$16))*P103+(Parámetros!$B$16/(Q103+Parámetros!$B$16))*Parámetros!$B$17-0.1)/0.4*100)))</f>
        <v/>
      </c>
      <c r="AE103" s="47" t="str">
        <f aca="false">IF(N(R103)&gt;0,MIN(100,S103/R103*100),"")</f>
        <v/>
      </c>
      <c r="AF103" s="47" t="str">
        <f aca="false">IF(N(U103)&gt;0,MIN(100,T103/(U103*5)*100),"")</f>
        <v/>
      </c>
      <c r="AG103" s="47" t="str">
        <f aca="false">IF(OR(V103="",N(W103)&lt;10),"",(V103-1)/4*100)</f>
        <v/>
      </c>
      <c r="AH103" s="47" t="str">
        <f aca="false">IF($C103="","",COUNT(X103:AG103))</f>
        <v/>
      </c>
      <c r="AI103" s="47" t="str">
        <f aca="false">IF(OR($C103="",N(AH103)&lt;Parámetros!$B$18),"",(IF(ISNUMBER(X103),X103*Parámetros!$B$2,0)+IF(ISNUMBER(Y103),Y103*Parámetros!$B$3,0)+IF(ISNUMBER(Z103),Z103*Parámetros!$B$4,0)+IF(ISNUMBER(AA103),AA103*Parámetros!$B$5,0)+IF(ISNUMBER(AB103),AB103*Parámetros!$B$6,0)+IF(ISNUMBER(AC103),AC103*Parámetros!$B$7,0)+IF(ISNUMBER(AD103),AD103*Parámetros!$B$8,0)+IF(ISNUMBER(AE103),AE103*Parámetros!$B$9,0)+IF(ISNUMBER(AF103),AF103*Parámetros!$B$10,0)+IF(ISNUMBER(AG103),AG103*Parámetros!$B$11,0))/(IF(ISNUMBER(X103),Parámetros!$B$2,0)+IF(ISNUMBER(Y103),Parámetros!$B$3,0)+IF(ISNUMBER(Z103),Parámetros!$B$4,0)+IF(ISNUMBER(AA103),Parámetros!$B$5,0)+IF(ISNUMBER(AB103),Parámetros!$B$6,0)+IF(ISNUMBER(AC103),Parámetros!$B$7,0)+IF(ISNUMBER(AD103),Parámetros!$B$8,0)+IF(ISNUMBER(AE103),Parámetros!$B$9,0)+IF(ISNUMBER(AF103),Parámetros!$B$10,0)+IF(ISNUMBER(AG103),Parámetros!$B$11,0)))</f>
        <v/>
      </c>
      <c r="AJ103" s="47" t="n">
        <f aca="false">IF(AND(ISNUMBER(Y103),N(Y103)&lt;60),69.9,IF(OR(AND(ISNUMBER(AE103),N(AE103)&lt;80),AND(ISNUMBER(AC103),N(AC103)&lt;50,N(O103)&gt;=2)),84.9,100))</f>
        <v>100</v>
      </c>
      <c r="AK103" s="47" t="str">
        <f aca="false">IF(AI103="","",MIN(AI103,AJ103))</f>
        <v/>
      </c>
      <c r="AL103" s="47" t="str">
        <f aca="false">IF($C103="","",IF(AK103="","Gris — menos de 3 fuentes",IF(AND(AK103&lt;Parámetros!$B$14,N103&lt;&gt;"",N(N103)&lt;Parámetros!$B$15,N(Y103)&gt;=60),"Gris — repetir observación",IF(AK103&gt;=Parámetros!$B$13,"Verde",IF(AK103&gt;=Parámetros!$B$14,"Amarillo","Rojo")))))</f>
        <v/>
      </c>
      <c r="AM103" s="47" t="str">
        <f aca="false">IF($C103="","",IF(AND(ISNUMBER(Y103),N(Y103)&lt;60),"Ejecución &lt; 60 %: rojo automático",IF(AND(ISNUMBER(AE103),N(AE103)&lt;80),"PIAR &lt; 80 %: máximo amarillo",IF(AND(ISNUMBER(AC103),N(AC103)&lt;50,N(O103)&gt;=2),"Observación &lt; 50: máximo amarillo",IF(AND(N103&lt;&gt;"",N(N103)&lt;Parámetros!$B$15),"κ &lt; 0,60: observación descartada, repetir","")))))</f>
        <v/>
      </c>
    </row>
    <row r="104" customFormat="false" ht="15" hidden="false" customHeight="fals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7" t="str">
        <f aca="false">IF(N(E104)&gt;0,MIN(100,F104/E104*100),"")</f>
        <v/>
      </c>
      <c r="Y104" s="47" t="str">
        <f aca="false">IF(N(G104)&gt;0,MIN(100,H104/G104*100),"")</f>
        <v/>
      </c>
      <c r="Z104" s="47" t="str">
        <f aca="false">IF(N(I104)&gt;0,MIN(100,J104/I104*100),"")</f>
        <v/>
      </c>
      <c r="AA104" s="47" t="str">
        <f aca="false">IF(K104="","",K104/24*100)</f>
        <v/>
      </c>
      <c r="AB104" s="47" t="str">
        <f aca="false">IF(L104="","",L104/3*100)</f>
        <v/>
      </c>
      <c r="AC104" s="47" t="str">
        <f aca="false">IF(OR(M104="",AND(N104&lt;&gt;"",N(N104)&lt;Parámetros!$B$15)),"",MAX(0,MIN(100,(M104-1)/4*100)))</f>
        <v/>
      </c>
      <c r="AD104" s="47" t="str">
        <f aca="false">IF(OR(P104="",N(Q104)=0),"",MAX(0,MIN(100,((Q104/(Q104+Parámetros!$B$16))*P104+(Parámetros!$B$16/(Q104+Parámetros!$B$16))*Parámetros!$B$17-0.1)/0.4*100)))</f>
        <v/>
      </c>
      <c r="AE104" s="47" t="str">
        <f aca="false">IF(N(R104)&gt;0,MIN(100,S104/R104*100),"")</f>
        <v/>
      </c>
      <c r="AF104" s="47" t="str">
        <f aca="false">IF(N(U104)&gt;0,MIN(100,T104/(U104*5)*100),"")</f>
        <v/>
      </c>
      <c r="AG104" s="47" t="str">
        <f aca="false">IF(OR(V104="",N(W104)&lt;10),"",(V104-1)/4*100)</f>
        <v/>
      </c>
      <c r="AH104" s="47" t="str">
        <f aca="false">IF($C104="","",COUNT(X104:AG104))</f>
        <v/>
      </c>
      <c r="AI104" s="47" t="str">
        <f aca="false">IF(OR($C104="",N(AH104)&lt;Parámetros!$B$18),"",(IF(ISNUMBER(X104),X104*Parámetros!$B$2,0)+IF(ISNUMBER(Y104),Y104*Parámetros!$B$3,0)+IF(ISNUMBER(Z104),Z104*Parámetros!$B$4,0)+IF(ISNUMBER(AA104),AA104*Parámetros!$B$5,0)+IF(ISNUMBER(AB104),AB104*Parámetros!$B$6,0)+IF(ISNUMBER(AC104),AC104*Parámetros!$B$7,0)+IF(ISNUMBER(AD104),AD104*Parámetros!$B$8,0)+IF(ISNUMBER(AE104),AE104*Parámetros!$B$9,0)+IF(ISNUMBER(AF104),AF104*Parámetros!$B$10,0)+IF(ISNUMBER(AG104),AG104*Parámetros!$B$11,0))/(IF(ISNUMBER(X104),Parámetros!$B$2,0)+IF(ISNUMBER(Y104),Parámetros!$B$3,0)+IF(ISNUMBER(Z104),Parámetros!$B$4,0)+IF(ISNUMBER(AA104),Parámetros!$B$5,0)+IF(ISNUMBER(AB104),Parámetros!$B$6,0)+IF(ISNUMBER(AC104),Parámetros!$B$7,0)+IF(ISNUMBER(AD104),Parámetros!$B$8,0)+IF(ISNUMBER(AE104),Parámetros!$B$9,0)+IF(ISNUMBER(AF104),Parámetros!$B$10,0)+IF(ISNUMBER(AG104),Parámetros!$B$11,0)))</f>
        <v/>
      </c>
      <c r="AJ104" s="47" t="n">
        <f aca="false">IF(AND(ISNUMBER(Y104),N(Y104)&lt;60),69.9,IF(OR(AND(ISNUMBER(AE104),N(AE104)&lt;80),AND(ISNUMBER(AC104),N(AC104)&lt;50,N(O104)&gt;=2)),84.9,100))</f>
        <v>100</v>
      </c>
      <c r="AK104" s="47" t="str">
        <f aca="false">IF(AI104="","",MIN(AI104,AJ104))</f>
        <v/>
      </c>
      <c r="AL104" s="47" t="str">
        <f aca="false">IF($C104="","",IF(AK104="","Gris — menos de 3 fuentes",IF(AND(AK104&lt;Parámetros!$B$14,N104&lt;&gt;"",N(N104)&lt;Parámetros!$B$15,N(Y104)&gt;=60),"Gris — repetir observación",IF(AK104&gt;=Parámetros!$B$13,"Verde",IF(AK104&gt;=Parámetros!$B$14,"Amarillo","Rojo")))))</f>
        <v/>
      </c>
      <c r="AM104" s="47" t="str">
        <f aca="false">IF($C104="","",IF(AND(ISNUMBER(Y104),N(Y104)&lt;60),"Ejecución &lt; 60 %: rojo automático",IF(AND(ISNUMBER(AE104),N(AE104)&lt;80),"PIAR &lt; 80 %: máximo amarillo",IF(AND(ISNUMBER(AC104),N(AC104)&lt;50,N(O104)&gt;=2),"Observación &lt; 50: máximo amarillo",IF(AND(N104&lt;&gt;"",N(N104)&lt;Parámetros!$B$15),"κ &lt; 0,60: observación descartada, repetir","")))))</f>
        <v/>
      </c>
    </row>
    <row r="105" customFormat="false" ht="15" hidden="false" customHeight="fals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7" t="str">
        <f aca="false">IF(N(E105)&gt;0,MIN(100,F105/E105*100),"")</f>
        <v/>
      </c>
      <c r="Y105" s="47" t="str">
        <f aca="false">IF(N(G105)&gt;0,MIN(100,H105/G105*100),"")</f>
        <v/>
      </c>
      <c r="Z105" s="47" t="str">
        <f aca="false">IF(N(I105)&gt;0,MIN(100,J105/I105*100),"")</f>
        <v/>
      </c>
      <c r="AA105" s="47" t="str">
        <f aca="false">IF(K105="","",K105/24*100)</f>
        <v/>
      </c>
      <c r="AB105" s="47" t="str">
        <f aca="false">IF(L105="","",L105/3*100)</f>
        <v/>
      </c>
      <c r="AC105" s="47" t="str">
        <f aca="false">IF(OR(M105="",AND(N105&lt;&gt;"",N(N105)&lt;Parámetros!$B$15)),"",MAX(0,MIN(100,(M105-1)/4*100)))</f>
        <v/>
      </c>
      <c r="AD105" s="47" t="str">
        <f aca="false">IF(OR(P105="",N(Q105)=0),"",MAX(0,MIN(100,((Q105/(Q105+Parámetros!$B$16))*P105+(Parámetros!$B$16/(Q105+Parámetros!$B$16))*Parámetros!$B$17-0.1)/0.4*100)))</f>
        <v/>
      </c>
      <c r="AE105" s="47" t="str">
        <f aca="false">IF(N(R105)&gt;0,MIN(100,S105/R105*100),"")</f>
        <v/>
      </c>
      <c r="AF105" s="47" t="str">
        <f aca="false">IF(N(U105)&gt;0,MIN(100,T105/(U105*5)*100),"")</f>
        <v/>
      </c>
      <c r="AG105" s="47" t="str">
        <f aca="false">IF(OR(V105="",N(W105)&lt;10),"",(V105-1)/4*100)</f>
        <v/>
      </c>
      <c r="AH105" s="47" t="str">
        <f aca="false">IF($C105="","",COUNT(X105:AG105))</f>
        <v/>
      </c>
      <c r="AI105" s="47" t="str">
        <f aca="false">IF(OR($C105="",N(AH105)&lt;Parámetros!$B$18),"",(IF(ISNUMBER(X105),X105*Parámetros!$B$2,0)+IF(ISNUMBER(Y105),Y105*Parámetros!$B$3,0)+IF(ISNUMBER(Z105),Z105*Parámetros!$B$4,0)+IF(ISNUMBER(AA105),AA105*Parámetros!$B$5,0)+IF(ISNUMBER(AB105),AB105*Parámetros!$B$6,0)+IF(ISNUMBER(AC105),AC105*Parámetros!$B$7,0)+IF(ISNUMBER(AD105),AD105*Parámetros!$B$8,0)+IF(ISNUMBER(AE105),AE105*Parámetros!$B$9,0)+IF(ISNUMBER(AF105),AF105*Parámetros!$B$10,0)+IF(ISNUMBER(AG105),AG105*Parámetros!$B$11,0))/(IF(ISNUMBER(X105),Parámetros!$B$2,0)+IF(ISNUMBER(Y105),Parámetros!$B$3,0)+IF(ISNUMBER(Z105),Parámetros!$B$4,0)+IF(ISNUMBER(AA105),Parámetros!$B$5,0)+IF(ISNUMBER(AB105),Parámetros!$B$6,0)+IF(ISNUMBER(AC105),Parámetros!$B$7,0)+IF(ISNUMBER(AD105),Parámetros!$B$8,0)+IF(ISNUMBER(AE105),Parámetros!$B$9,0)+IF(ISNUMBER(AF105),Parámetros!$B$10,0)+IF(ISNUMBER(AG105),Parámetros!$B$11,0)))</f>
        <v/>
      </c>
      <c r="AJ105" s="47" t="n">
        <f aca="false">IF(AND(ISNUMBER(Y105),N(Y105)&lt;60),69.9,IF(OR(AND(ISNUMBER(AE105),N(AE105)&lt;80),AND(ISNUMBER(AC105),N(AC105)&lt;50,N(O105)&gt;=2)),84.9,100))</f>
        <v>100</v>
      </c>
      <c r="AK105" s="47" t="str">
        <f aca="false">IF(AI105="","",MIN(AI105,AJ105))</f>
        <v/>
      </c>
      <c r="AL105" s="47" t="str">
        <f aca="false">IF($C105="","",IF(AK105="","Gris — menos de 3 fuentes",IF(AND(AK105&lt;Parámetros!$B$14,N105&lt;&gt;"",N(N105)&lt;Parámetros!$B$15,N(Y105)&gt;=60),"Gris — repetir observación",IF(AK105&gt;=Parámetros!$B$13,"Verde",IF(AK105&gt;=Parámetros!$B$14,"Amarillo","Rojo")))))</f>
        <v/>
      </c>
      <c r="AM105" s="47" t="str">
        <f aca="false">IF($C105="","",IF(AND(ISNUMBER(Y105),N(Y105)&lt;60),"Ejecución &lt; 60 %: rojo automático",IF(AND(ISNUMBER(AE105),N(AE105)&lt;80),"PIAR &lt; 80 %: máximo amarillo",IF(AND(ISNUMBER(AC105),N(AC105)&lt;50,N(O105)&gt;=2),"Observación &lt; 50: máximo amarillo",IF(AND(N105&lt;&gt;"",N(N105)&lt;Parámetros!$B$15),"κ &lt; 0,60: observación descartada, repetir","")))))</f>
        <v/>
      </c>
    </row>
    <row r="106" customFormat="false" ht="15" hidden="false" customHeight="fals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7" t="str">
        <f aca="false">IF(N(E106)&gt;0,MIN(100,F106/E106*100),"")</f>
        <v/>
      </c>
      <c r="Y106" s="47" t="str">
        <f aca="false">IF(N(G106)&gt;0,MIN(100,H106/G106*100),"")</f>
        <v/>
      </c>
      <c r="Z106" s="47" t="str">
        <f aca="false">IF(N(I106)&gt;0,MIN(100,J106/I106*100),"")</f>
        <v/>
      </c>
      <c r="AA106" s="47" t="str">
        <f aca="false">IF(K106="","",K106/24*100)</f>
        <v/>
      </c>
      <c r="AB106" s="47" t="str">
        <f aca="false">IF(L106="","",L106/3*100)</f>
        <v/>
      </c>
      <c r="AC106" s="47" t="str">
        <f aca="false">IF(OR(M106="",AND(N106&lt;&gt;"",N(N106)&lt;Parámetros!$B$15)),"",MAX(0,MIN(100,(M106-1)/4*100)))</f>
        <v/>
      </c>
      <c r="AD106" s="47" t="str">
        <f aca="false">IF(OR(P106="",N(Q106)=0),"",MAX(0,MIN(100,((Q106/(Q106+Parámetros!$B$16))*P106+(Parámetros!$B$16/(Q106+Parámetros!$B$16))*Parámetros!$B$17-0.1)/0.4*100)))</f>
        <v/>
      </c>
      <c r="AE106" s="47" t="str">
        <f aca="false">IF(N(R106)&gt;0,MIN(100,S106/R106*100),"")</f>
        <v/>
      </c>
      <c r="AF106" s="47" t="str">
        <f aca="false">IF(N(U106)&gt;0,MIN(100,T106/(U106*5)*100),"")</f>
        <v/>
      </c>
      <c r="AG106" s="47" t="str">
        <f aca="false">IF(OR(V106="",N(W106)&lt;10),"",(V106-1)/4*100)</f>
        <v/>
      </c>
      <c r="AH106" s="47" t="str">
        <f aca="false">IF($C106="","",COUNT(X106:AG106))</f>
        <v/>
      </c>
      <c r="AI106" s="47" t="str">
        <f aca="false">IF(OR($C106="",N(AH106)&lt;Parámetros!$B$18),"",(IF(ISNUMBER(X106),X106*Parámetros!$B$2,0)+IF(ISNUMBER(Y106),Y106*Parámetros!$B$3,0)+IF(ISNUMBER(Z106),Z106*Parámetros!$B$4,0)+IF(ISNUMBER(AA106),AA106*Parámetros!$B$5,0)+IF(ISNUMBER(AB106),AB106*Parámetros!$B$6,0)+IF(ISNUMBER(AC106),AC106*Parámetros!$B$7,0)+IF(ISNUMBER(AD106),AD106*Parámetros!$B$8,0)+IF(ISNUMBER(AE106),AE106*Parámetros!$B$9,0)+IF(ISNUMBER(AF106),AF106*Parámetros!$B$10,0)+IF(ISNUMBER(AG106),AG106*Parámetros!$B$11,0))/(IF(ISNUMBER(X106),Parámetros!$B$2,0)+IF(ISNUMBER(Y106),Parámetros!$B$3,0)+IF(ISNUMBER(Z106),Parámetros!$B$4,0)+IF(ISNUMBER(AA106),Parámetros!$B$5,0)+IF(ISNUMBER(AB106),Parámetros!$B$6,0)+IF(ISNUMBER(AC106),Parámetros!$B$7,0)+IF(ISNUMBER(AD106),Parámetros!$B$8,0)+IF(ISNUMBER(AE106),Parámetros!$B$9,0)+IF(ISNUMBER(AF106),Parámetros!$B$10,0)+IF(ISNUMBER(AG106),Parámetros!$B$11,0)))</f>
        <v/>
      </c>
      <c r="AJ106" s="47" t="n">
        <f aca="false">IF(AND(ISNUMBER(Y106),N(Y106)&lt;60),69.9,IF(OR(AND(ISNUMBER(AE106),N(AE106)&lt;80),AND(ISNUMBER(AC106),N(AC106)&lt;50,N(O106)&gt;=2)),84.9,100))</f>
        <v>100</v>
      </c>
      <c r="AK106" s="47" t="str">
        <f aca="false">IF(AI106="","",MIN(AI106,AJ106))</f>
        <v/>
      </c>
      <c r="AL106" s="47" t="str">
        <f aca="false">IF($C106="","",IF(AK106="","Gris — menos de 3 fuentes",IF(AND(AK106&lt;Parámetros!$B$14,N106&lt;&gt;"",N(N106)&lt;Parámetros!$B$15,N(Y106)&gt;=60),"Gris — repetir observación",IF(AK106&gt;=Parámetros!$B$13,"Verde",IF(AK106&gt;=Parámetros!$B$14,"Amarillo","Rojo")))))</f>
        <v/>
      </c>
      <c r="AM106" s="47" t="str">
        <f aca="false">IF($C106="","",IF(AND(ISNUMBER(Y106),N(Y106)&lt;60),"Ejecución &lt; 60 %: rojo automático",IF(AND(ISNUMBER(AE106),N(AE106)&lt;80),"PIAR &lt; 80 %: máximo amarillo",IF(AND(ISNUMBER(AC106),N(AC106)&lt;50,N(O106)&gt;=2),"Observación &lt; 50: máximo amarillo",IF(AND(N106&lt;&gt;"",N(N106)&lt;Parámetros!$B$15),"κ &lt; 0,60: observación descartada, repetir","")))))</f>
        <v/>
      </c>
    </row>
    <row r="107" customFormat="false" ht="15" hidden="false" customHeight="fals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7" t="str">
        <f aca="false">IF(N(E107)&gt;0,MIN(100,F107/E107*100),"")</f>
        <v/>
      </c>
      <c r="Y107" s="47" t="str">
        <f aca="false">IF(N(G107)&gt;0,MIN(100,H107/G107*100),"")</f>
        <v/>
      </c>
      <c r="Z107" s="47" t="str">
        <f aca="false">IF(N(I107)&gt;0,MIN(100,J107/I107*100),"")</f>
        <v/>
      </c>
      <c r="AA107" s="47" t="str">
        <f aca="false">IF(K107="","",K107/24*100)</f>
        <v/>
      </c>
      <c r="AB107" s="47" t="str">
        <f aca="false">IF(L107="","",L107/3*100)</f>
        <v/>
      </c>
      <c r="AC107" s="47" t="str">
        <f aca="false">IF(OR(M107="",AND(N107&lt;&gt;"",N(N107)&lt;Parámetros!$B$15)),"",MAX(0,MIN(100,(M107-1)/4*100)))</f>
        <v/>
      </c>
      <c r="AD107" s="47" t="str">
        <f aca="false">IF(OR(P107="",N(Q107)=0),"",MAX(0,MIN(100,((Q107/(Q107+Parámetros!$B$16))*P107+(Parámetros!$B$16/(Q107+Parámetros!$B$16))*Parámetros!$B$17-0.1)/0.4*100)))</f>
        <v/>
      </c>
      <c r="AE107" s="47" t="str">
        <f aca="false">IF(N(R107)&gt;0,MIN(100,S107/R107*100),"")</f>
        <v/>
      </c>
      <c r="AF107" s="47" t="str">
        <f aca="false">IF(N(U107)&gt;0,MIN(100,T107/(U107*5)*100),"")</f>
        <v/>
      </c>
      <c r="AG107" s="47" t="str">
        <f aca="false">IF(OR(V107="",N(W107)&lt;10),"",(V107-1)/4*100)</f>
        <v/>
      </c>
      <c r="AH107" s="47" t="str">
        <f aca="false">IF($C107="","",COUNT(X107:AG107))</f>
        <v/>
      </c>
      <c r="AI107" s="47" t="str">
        <f aca="false">IF(OR($C107="",N(AH107)&lt;Parámetros!$B$18),"",(IF(ISNUMBER(X107),X107*Parámetros!$B$2,0)+IF(ISNUMBER(Y107),Y107*Parámetros!$B$3,0)+IF(ISNUMBER(Z107),Z107*Parámetros!$B$4,0)+IF(ISNUMBER(AA107),AA107*Parámetros!$B$5,0)+IF(ISNUMBER(AB107),AB107*Parámetros!$B$6,0)+IF(ISNUMBER(AC107),AC107*Parámetros!$B$7,0)+IF(ISNUMBER(AD107),AD107*Parámetros!$B$8,0)+IF(ISNUMBER(AE107),AE107*Parámetros!$B$9,0)+IF(ISNUMBER(AF107),AF107*Parámetros!$B$10,0)+IF(ISNUMBER(AG107),AG107*Parámetros!$B$11,0))/(IF(ISNUMBER(X107),Parámetros!$B$2,0)+IF(ISNUMBER(Y107),Parámetros!$B$3,0)+IF(ISNUMBER(Z107),Parámetros!$B$4,0)+IF(ISNUMBER(AA107),Parámetros!$B$5,0)+IF(ISNUMBER(AB107),Parámetros!$B$6,0)+IF(ISNUMBER(AC107),Parámetros!$B$7,0)+IF(ISNUMBER(AD107),Parámetros!$B$8,0)+IF(ISNUMBER(AE107),Parámetros!$B$9,0)+IF(ISNUMBER(AF107),Parámetros!$B$10,0)+IF(ISNUMBER(AG107),Parámetros!$B$11,0)))</f>
        <v/>
      </c>
      <c r="AJ107" s="47" t="n">
        <f aca="false">IF(AND(ISNUMBER(Y107),N(Y107)&lt;60),69.9,IF(OR(AND(ISNUMBER(AE107),N(AE107)&lt;80),AND(ISNUMBER(AC107),N(AC107)&lt;50,N(O107)&gt;=2)),84.9,100))</f>
        <v>100</v>
      </c>
      <c r="AK107" s="47" t="str">
        <f aca="false">IF(AI107="","",MIN(AI107,AJ107))</f>
        <v/>
      </c>
      <c r="AL107" s="47" t="str">
        <f aca="false">IF($C107="","",IF(AK107="","Gris — menos de 3 fuentes",IF(AND(AK107&lt;Parámetros!$B$14,N107&lt;&gt;"",N(N107)&lt;Parámetros!$B$15,N(Y107)&gt;=60),"Gris — repetir observación",IF(AK107&gt;=Parámetros!$B$13,"Verde",IF(AK107&gt;=Parámetros!$B$14,"Amarillo","Rojo")))))</f>
        <v/>
      </c>
      <c r="AM107" s="47" t="str">
        <f aca="false">IF($C107="","",IF(AND(ISNUMBER(Y107),N(Y107)&lt;60),"Ejecución &lt; 60 %: rojo automático",IF(AND(ISNUMBER(AE107),N(AE107)&lt;80),"PIAR &lt; 80 %: máximo amarillo",IF(AND(ISNUMBER(AC107),N(AC107)&lt;50,N(O107)&gt;=2),"Observación &lt; 50: máximo amarillo",IF(AND(N107&lt;&gt;"",N(N107)&lt;Parámetros!$B$15),"κ &lt; 0,60: observación descartada, repetir","")))))</f>
        <v/>
      </c>
    </row>
    <row r="108" customFormat="false" ht="15" hidden="false" customHeight="fals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7" t="str">
        <f aca="false">IF(N(E108)&gt;0,MIN(100,F108/E108*100),"")</f>
        <v/>
      </c>
      <c r="Y108" s="47" t="str">
        <f aca="false">IF(N(G108)&gt;0,MIN(100,H108/G108*100),"")</f>
        <v/>
      </c>
      <c r="Z108" s="47" t="str">
        <f aca="false">IF(N(I108)&gt;0,MIN(100,J108/I108*100),"")</f>
        <v/>
      </c>
      <c r="AA108" s="47" t="str">
        <f aca="false">IF(K108="","",K108/24*100)</f>
        <v/>
      </c>
      <c r="AB108" s="47" t="str">
        <f aca="false">IF(L108="","",L108/3*100)</f>
        <v/>
      </c>
      <c r="AC108" s="47" t="str">
        <f aca="false">IF(OR(M108="",AND(N108&lt;&gt;"",N(N108)&lt;Parámetros!$B$15)),"",MAX(0,MIN(100,(M108-1)/4*100)))</f>
        <v/>
      </c>
      <c r="AD108" s="47" t="str">
        <f aca="false">IF(OR(P108="",N(Q108)=0),"",MAX(0,MIN(100,((Q108/(Q108+Parámetros!$B$16))*P108+(Parámetros!$B$16/(Q108+Parámetros!$B$16))*Parámetros!$B$17-0.1)/0.4*100)))</f>
        <v/>
      </c>
      <c r="AE108" s="47" t="str">
        <f aca="false">IF(N(R108)&gt;0,MIN(100,S108/R108*100),"")</f>
        <v/>
      </c>
      <c r="AF108" s="47" t="str">
        <f aca="false">IF(N(U108)&gt;0,MIN(100,T108/(U108*5)*100),"")</f>
        <v/>
      </c>
      <c r="AG108" s="47" t="str">
        <f aca="false">IF(OR(V108="",N(W108)&lt;10),"",(V108-1)/4*100)</f>
        <v/>
      </c>
      <c r="AH108" s="47" t="str">
        <f aca="false">IF($C108="","",COUNT(X108:AG108))</f>
        <v/>
      </c>
      <c r="AI108" s="47" t="str">
        <f aca="false">IF(OR($C108="",N(AH108)&lt;Parámetros!$B$18),"",(IF(ISNUMBER(X108),X108*Parámetros!$B$2,0)+IF(ISNUMBER(Y108),Y108*Parámetros!$B$3,0)+IF(ISNUMBER(Z108),Z108*Parámetros!$B$4,0)+IF(ISNUMBER(AA108),AA108*Parámetros!$B$5,0)+IF(ISNUMBER(AB108),AB108*Parámetros!$B$6,0)+IF(ISNUMBER(AC108),AC108*Parámetros!$B$7,0)+IF(ISNUMBER(AD108),AD108*Parámetros!$B$8,0)+IF(ISNUMBER(AE108),AE108*Parámetros!$B$9,0)+IF(ISNUMBER(AF108),AF108*Parámetros!$B$10,0)+IF(ISNUMBER(AG108),AG108*Parámetros!$B$11,0))/(IF(ISNUMBER(X108),Parámetros!$B$2,0)+IF(ISNUMBER(Y108),Parámetros!$B$3,0)+IF(ISNUMBER(Z108),Parámetros!$B$4,0)+IF(ISNUMBER(AA108),Parámetros!$B$5,0)+IF(ISNUMBER(AB108),Parámetros!$B$6,0)+IF(ISNUMBER(AC108),Parámetros!$B$7,0)+IF(ISNUMBER(AD108),Parámetros!$B$8,0)+IF(ISNUMBER(AE108),Parámetros!$B$9,0)+IF(ISNUMBER(AF108),Parámetros!$B$10,0)+IF(ISNUMBER(AG108),Parámetros!$B$11,0)))</f>
        <v/>
      </c>
      <c r="AJ108" s="47" t="n">
        <f aca="false">IF(AND(ISNUMBER(Y108),N(Y108)&lt;60),69.9,IF(OR(AND(ISNUMBER(AE108),N(AE108)&lt;80),AND(ISNUMBER(AC108),N(AC108)&lt;50,N(O108)&gt;=2)),84.9,100))</f>
        <v>100</v>
      </c>
      <c r="AK108" s="47" t="str">
        <f aca="false">IF(AI108="","",MIN(AI108,AJ108))</f>
        <v/>
      </c>
      <c r="AL108" s="47" t="str">
        <f aca="false">IF($C108="","",IF(AK108="","Gris — menos de 3 fuentes",IF(AND(AK108&lt;Parámetros!$B$14,N108&lt;&gt;"",N(N108)&lt;Parámetros!$B$15,N(Y108)&gt;=60),"Gris — repetir observación",IF(AK108&gt;=Parámetros!$B$13,"Verde",IF(AK108&gt;=Parámetros!$B$14,"Amarillo","Rojo")))))</f>
        <v/>
      </c>
      <c r="AM108" s="47" t="str">
        <f aca="false">IF($C108="","",IF(AND(ISNUMBER(Y108),N(Y108)&lt;60),"Ejecución &lt; 60 %: rojo automático",IF(AND(ISNUMBER(AE108),N(AE108)&lt;80),"PIAR &lt; 80 %: máximo amarillo",IF(AND(ISNUMBER(AC108),N(AC108)&lt;50,N(O108)&gt;=2),"Observación &lt; 50: máximo amarillo",IF(AND(N108&lt;&gt;"",N(N108)&lt;Parámetros!$B$15),"κ &lt; 0,60: observación descartada, repetir","")))))</f>
        <v/>
      </c>
    </row>
    <row r="109" customFormat="false" ht="15" hidden="false" customHeight="fals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7" t="str">
        <f aca="false">IF(N(E109)&gt;0,MIN(100,F109/E109*100),"")</f>
        <v/>
      </c>
      <c r="Y109" s="47" t="str">
        <f aca="false">IF(N(G109)&gt;0,MIN(100,H109/G109*100),"")</f>
        <v/>
      </c>
      <c r="Z109" s="47" t="str">
        <f aca="false">IF(N(I109)&gt;0,MIN(100,J109/I109*100),"")</f>
        <v/>
      </c>
      <c r="AA109" s="47" t="str">
        <f aca="false">IF(K109="","",K109/24*100)</f>
        <v/>
      </c>
      <c r="AB109" s="47" t="str">
        <f aca="false">IF(L109="","",L109/3*100)</f>
        <v/>
      </c>
      <c r="AC109" s="47" t="str">
        <f aca="false">IF(OR(M109="",AND(N109&lt;&gt;"",N(N109)&lt;Parámetros!$B$15)),"",MAX(0,MIN(100,(M109-1)/4*100)))</f>
        <v/>
      </c>
      <c r="AD109" s="47" t="str">
        <f aca="false">IF(OR(P109="",N(Q109)=0),"",MAX(0,MIN(100,((Q109/(Q109+Parámetros!$B$16))*P109+(Parámetros!$B$16/(Q109+Parámetros!$B$16))*Parámetros!$B$17-0.1)/0.4*100)))</f>
        <v/>
      </c>
      <c r="AE109" s="47" t="str">
        <f aca="false">IF(N(R109)&gt;0,MIN(100,S109/R109*100),"")</f>
        <v/>
      </c>
      <c r="AF109" s="47" t="str">
        <f aca="false">IF(N(U109)&gt;0,MIN(100,T109/(U109*5)*100),"")</f>
        <v/>
      </c>
      <c r="AG109" s="47" t="str">
        <f aca="false">IF(OR(V109="",N(W109)&lt;10),"",(V109-1)/4*100)</f>
        <v/>
      </c>
      <c r="AH109" s="47" t="str">
        <f aca="false">IF($C109="","",COUNT(X109:AG109))</f>
        <v/>
      </c>
      <c r="AI109" s="47" t="str">
        <f aca="false">IF(OR($C109="",N(AH109)&lt;Parámetros!$B$18),"",(IF(ISNUMBER(X109),X109*Parámetros!$B$2,0)+IF(ISNUMBER(Y109),Y109*Parámetros!$B$3,0)+IF(ISNUMBER(Z109),Z109*Parámetros!$B$4,0)+IF(ISNUMBER(AA109),AA109*Parámetros!$B$5,0)+IF(ISNUMBER(AB109),AB109*Parámetros!$B$6,0)+IF(ISNUMBER(AC109),AC109*Parámetros!$B$7,0)+IF(ISNUMBER(AD109),AD109*Parámetros!$B$8,0)+IF(ISNUMBER(AE109),AE109*Parámetros!$B$9,0)+IF(ISNUMBER(AF109),AF109*Parámetros!$B$10,0)+IF(ISNUMBER(AG109),AG109*Parámetros!$B$11,0))/(IF(ISNUMBER(X109),Parámetros!$B$2,0)+IF(ISNUMBER(Y109),Parámetros!$B$3,0)+IF(ISNUMBER(Z109),Parámetros!$B$4,0)+IF(ISNUMBER(AA109),Parámetros!$B$5,0)+IF(ISNUMBER(AB109),Parámetros!$B$6,0)+IF(ISNUMBER(AC109),Parámetros!$B$7,0)+IF(ISNUMBER(AD109),Parámetros!$B$8,0)+IF(ISNUMBER(AE109),Parámetros!$B$9,0)+IF(ISNUMBER(AF109),Parámetros!$B$10,0)+IF(ISNUMBER(AG109),Parámetros!$B$11,0)))</f>
        <v/>
      </c>
      <c r="AJ109" s="47" t="n">
        <f aca="false">IF(AND(ISNUMBER(Y109),N(Y109)&lt;60),69.9,IF(OR(AND(ISNUMBER(AE109),N(AE109)&lt;80),AND(ISNUMBER(AC109),N(AC109)&lt;50,N(O109)&gt;=2)),84.9,100))</f>
        <v>100</v>
      </c>
      <c r="AK109" s="47" t="str">
        <f aca="false">IF(AI109="","",MIN(AI109,AJ109))</f>
        <v/>
      </c>
      <c r="AL109" s="47" t="str">
        <f aca="false">IF($C109="","",IF(AK109="","Gris — menos de 3 fuentes",IF(AND(AK109&lt;Parámetros!$B$14,N109&lt;&gt;"",N(N109)&lt;Parámetros!$B$15,N(Y109)&gt;=60),"Gris — repetir observación",IF(AK109&gt;=Parámetros!$B$13,"Verde",IF(AK109&gt;=Parámetros!$B$14,"Amarillo","Rojo")))))</f>
        <v/>
      </c>
      <c r="AM109" s="47" t="str">
        <f aca="false">IF($C109="","",IF(AND(ISNUMBER(Y109),N(Y109)&lt;60),"Ejecución &lt; 60 %: rojo automático",IF(AND(ISNUMBER(AE109),N(AE109)&lt;80),"PIAR &lt; 80 %: máximo amarillo",IF(AND(ISNUMBER(AC109),N(AC109)&lt;50,N(O109)&gt;=2),"Observación &lt; 50: máximo amarillo",IF(AND(N109&lt;&gt;"",N(N109)&lt;Parámetros!$B$15),"κ &lt; 0,60: observación descartada, repetir","")))))</f>
        <v/>
      </c>
    </row>
    <row r="110" customFormat="false" ht="15" hidden="false" customHeight="fals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7" t="str">
        <f aca="false">IF(N(E110)&gt;0,MIN(100,F110/E110*100),"")</f>
        <v/>
      </c>
      <c r="Y110" s="47" t="str">
        <f aca="false">IF(N(G110)&gt;0,MIN(100,H110/G110*100),"")</f>
        <v/>
      </c>
      <c r="Z110" s="47" t="str">
        <f aca="false">IF(N(I110)&gt;0,MIN(100,J110/I110*100),"")</f>
        <v/>
      </c>
      <c r="AA110" s="47" t="str">
        <f aca="false">IF(K110="","",K110/24*100)</f>
        <v/>
      </c>
      <c r="AB110" s="47" t="str">
        <f aca="false">IF(L110="","",L110/3*100)</f>
        <v/>
      </c>
      <c r="AC110" s="47" t="str">
        <f aca="false">IF(OR(M110="",AND(N110&lt;&gt;"",N(N110)&lt;Parámetros!$B$15)),"",MAX(0,MIN(100,(M110-1)/4*100)))</f>
        <v/>
      </c>
      <c r="AD110" s="47" t="str">
        <f aca="false">IF(OR(P110="",N(Q110)=0),"",MAX(0,MIN(100,((Q110/(Q110+Parámetros!$B$16))*P110+(Parámetros!$B$16/(Q110+Parámetros!$B$16))*Parámetros!$B$17-0.1)/0.4*100)))</f>
        <v/>
      </c>
      <c r="AE110" s="47" t="str">
        <f aca="false">IF(N(R110)&gt;0,MIN(100,S110/R110*100),"")</f>
        <v/>
      </c>
      <c r="AF110" s="47" t="str">
        <f aca="false">IF(N(U110)&gt;0,MIN(100,T110/(U110*5)*100),"")</f>
        <v/>
      </c>
      <c r="AG110" s="47" t="str">
        <f aca="false">IF(OR(V110="",N(W110)&lt;10),"",(V110-1)/4*100)</f>
        <v/>
      </c>
      <c r="AH110" s="47" t="str">
        <f aca="false">IF($C110="","",COUNT(X110:AG110))</f>
        <v/>
      </c>
      <c r="AI110" s="47" t="str">
        <f aca="false">IF(OR($C110="",N(AH110)&lt;Parámetros!$B$18),"",(IF(ISNUMBER(X110),X110*Parámetros!$B$2,0)+IF(ISNUMBER(Y110),Y110*Parámetros!$B$3,0)+IF(ISNUMBER(Z110),Z110*Parámetros!$B$4,0)+IF(ISNUMBER(AA110),AA110*Parámetros!$B$5,0)+IF(ISNUMBER(AB110),AB110*Parámetros!$B$6,0)+IF(ISNUMBER(AC110),AC110*Parámetros!$B$7,0)+IF(ISNUMBER(AD110),AD110*Parámetros!$B$8,0)+IF(ISNUMBER(AE110),AE110*Parámetros!$B$9,0)+IF(ISNUMBER(AF110),AF110*Parámetros!$B$10,0)+IF(ISNUMBER(AG110),AG110*Parámetros!$B$11,0))/(IF(ISNUMBER(X110),Parámetros!$B$2,0)+IF(ISNUMBER(Y110),Parámetros!$B$3,0)+IF(ISNUMBER(Z110),Parámetros!$B$4,0)+IF(ISNUMBER(AA110),Parámetros!$B$5,0)+IF(ISNUMBER(AB110),Parámetros!$B$6,0)+IF(ISNUMBER(AC110),Parámetros!$B$7,0)+IF(ISNUMBER(AD110),Parámetros!$B$8,0)+IF(ISNUMBER(AE110),Parámetros!$B$9,0)+IF(ISNUMBER(AF110),Parámetros!$B$10,0)+IF(ISNUMBER(AG110),Parámetros!$B$11,0)))</f>
        <v/>
      </c>
      <c r="AJ110" s="47" t="n">
        <f aca="false">IF(AND(ISNUMBER(Y110),N(Y110)&lt;60),69.9,IF(OR(AND(ISNUMBER(AE110),N(AE110)&lt;80),AND(ISNUMBER(AC110),N(AC110)&lt;50,N(O110)&gt;=2)),84.9,100))</f>
        <v>100</v>
      </c>
      <c r="AK110" s="47" t="str">
        <f aca="false">IF(AI110="","",MIN(AI110,AJ110))</f>
        <v/>
      </c>
      <c r="AL110" s="47" t="str">
        <f aca="false">IF($C110="","",IF(AK110="","Gris — menos de 3 fuentes",IF(AND(AK110&lt;Parámetros!$B$14,N110&lt;&gt;"",N(N110)&lt;Parámetros!$B$15,N(Y110)&gt;=60),"Gris — repetir observación",IF(AK110&gt;=Parámetros!$B$13,"Verde",IF(AK110&gt;=Parámetros!$B$14,"Amarillo","Rojo")))))</f>
        <v/>
      </c>
      <c r="AM110" s="47" t="str">
        <f aca="false">IF($C110="","",IF(AND(ISNUMBER(Y110),N(Y110)&lt;60),"Ejecución &lt; 60 %: rojo automático",IF(AND(ISNUMBER(AE110),N(AE110)&lt;80),"PIAR &lt; 80 %: máximo amarillo",IF(AND(ISNUMBER(AC110),N(AC110)&lt;50,N(O110)&gt;=2),"Observación &lt; 50: máximo amarillo",IF(AND(N110&lt;&gt;"",N(N110)&lt;Parámetros!$B$15),"κ &lt; 0,60: observación descartada, repetir","")))))</f>
        <v/>
      </c>
    </row>
    <row r="111" customFormat="false" ht="15" hidden="false" customHeight="fals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7" t="str">
        <f aca="false">IF(N(E111)&gt;0,MIN(100,F111/E111*100),"")</f>
        <v/>
      </c>
      <c r="Y111" s="47" t="str">
        <f aca="false">IF(N(G111)&gt;0,MIN(100,H111/G111*100),"")</f>
        <v/>
      </c>
      <c r="Z111" s="47" t="str">
        <f aca="false">IF(N(I111)&gt;0,MIN(100,J111/I111*100),"")</f>
        <v/>
      </c>
      <c r="AA111" s="47" t="str">
        <f aca="false">IF(K111="","",K111/24*100)</f>
        <v/>
      </c>
      <c r="AB111" s="47" t="str">
        <f aca="false">IF(L111="","",L111/3*100)</f>
        <v/>
      </c>
      <c r="AC111" s="47" t="str">
        <f aca="false">IF(OR(M111="",AND(N111&lt;&gt;"",N(N111)&lt;Parámetros!$B$15)),"",MAX(0,MIN(100,(M111-1)/4*100)))</f>
        <v/>
      </c>
      <c r="AD111" s="47" t="str">
        <f aca="false">IF(OR(P111="",N(Q111)=0),"",MAX(0,MIN(100,((Q111/(Q111+Parámetros!$B$16))*P111+(Parámetros!$B$16/(Q111+Parámetros!$B$16))*Parámetros!$B$17-0.1)/0.4*100)))</f>
        <v/>
      </c>
      <c r="AE111" s="47" t="str">
        <f aca="false">IF(N(R111)&gt;0,MIN(100,S111/R111*100),"")</f>
        <v/>
      </c>
      <c r="AF111" s="47" t="str">
        <f aca="false">IF(N(U111)&gt;0,MIN(100,T111/(U111*5)*100),"")</f>
        <v/>
      </c>
      <c r="AG111" s="47" t="str">
        <f aca="false">IF(OR(V111="",N(W111)&lt;10),"",(V111-1)/4*100)</f>
        <v/>
      </c>
      <c r="AH111" s="47" t="str">
        <f aca="false">IF($C111="","",COUNT(X111:AG111))</f>
        <v/>
      </c>
      <c r="AI111" s="47" t="str">
        <f aca="false">IF(OR($C111="",N(AH111)&lt;Parámetros!$B$18),"",(IF(ISNUMBER(X111),X111*Parámetros!$B$2,0)+IF(ISNUMBER(Y111),Y111*Parámetros!$B$3,0)+IF(ISNUMBER(Z111),Z111*Parámetros!$B$4,0)+IF(ISNUMBER(AA111),AA111*Parámetros!$B$5,0)+IF(ISNUMBER(AB111),AB111*Parámetros!$B$6,0)+IF(ISNUMBER(AC111),AC111*Parámetros!$B$7,0)+IF(ISNUMBER(AD111),AD111*Parámetros!$B$8,0)+IF(ISNUMBER(AE111),AE111*Parámetros!$B$9,0)+IF(ISNUMBER(AF111),AF111*Parámetros!$B$10,0)+IF(ISNUMBER(AG111),AG111*Parámetros!$B$11,0))/(IF(ISNUMBER(X111),Parámetros!$B$2,0)+IF(ISNUMBER(Y111),Parámetros!$B$3,0)+IF(ISNUMBER(Z111),Parámetros!$B$4,0)+IF(ISNUMBER(AA111),Parámetros!$B$5,0)+IF(ISNUMBER(AB111),Parámetros!$B$6,0)+IF(ISNUMBER(AC111),Parámetros!$B$7,0)+IF(ISNUMBER(AD111),Parámetros!$B$8,0)+IF(ISNUMBER(AE111),Parámetros!$B$9,0)+IF(ISNUMBER(AF111),Parámetros!$B$10,0)+IF(ISNUMBER(AG111),Parámetros!$B$11,0)))</f>
        <v/>
      </c>
      <c r="AJ111" s="47" t="n">
        <f aca="false">IF(AND(ISNUMBER(Y111),N(Y111)&lt;60),69.9,IF(OR(AND(ISNUMBER(AE111),N(AE111)&lt;80),AND(ISNUMBER(AC111),N(AC111)&lt;50,N(O111)&gt;=2)),84.9,100))</f>
        <v>100</v>
      </c>
      <c r="AK111" s="47" t="str">
        <f aca="false">IF(AI111="","",MIN(AI111,AJ111))</f>
        <v/>
      </c>
      <c r="AL111" s="47" t="str">
        <f aca="false">IF($C111="","",IF(AK111="","Gris — menos de 3 fuentes",IF(AND(AK111&lt;Parámetros!$B$14,N111&lt;&gt;"",N(N111)&lt;Parámetros!$B$15,N(Y111)&gt;=60),"Gris — repetir observación",IF(AK111&gt;=Parámetros!$B$13,"Verde",IF(AK111&gt;=Parámetros!$B$14,"Amarillo","Rojo")))))</f>
        <v/>
      </c>
      <c r="AM111" s="47" t="str">
        <f aca="false">IF($C111="","",IF(AND(ISNUMBER(Y111),N(Y111)&lt;60),"Ejecución &lt; 60 %: rojo automático",IF(AND(ISNUMBER(AE111),N(AE111)&lt;80),"PIAR &lt; 80 %: máximo amarillo",IF(AND(ISNUMBER(AC111),N(AC111)&lt;50,N(O111)&gt;=2),"Observación &lt; 50: máximo amarillo",IF(AND(N111&lt;&gt;"",N(N111)&lt;Parámetros!$B$15),"κ &lt; 0,60: observación descartada, repetir","")))))</f>
        <v/>
      </c>
    </row>
    <row r="112" customFormat="false" ht="15" hidden="false" customHeight="fals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7" t="str">
        <f aca="false">IF(N(E112)&gt;0,MIN(100,F112/E112*100),"")</f>
        <v/>
      </c>
      <c r="Y112" s="47" t="str">
        <f aca="false">IF(N(G112)&gt;0,MIN(100,H112/G112*100),"")</f>
        <v/>
      </c>
      <c r="Z112" s="47" t="str">
        <f aca="false">IF(N(I112)&gt;0,MIN(100,J112/I112*100),"")</f>
        <v/>
      </c>
      <c r="AA112" s="47" t="str">
        <f aca="false">IF(K112="","",K112/24*100)</f>
        <v/>
      </c>
      <c r="AB112" s="47" t="str">
        <f aca="false">IF(L112="","",L112/3*100)</f>
        <v/>
      </c>
      <c r="AC112" s="47" t="str">
        <f aca="false">IF(OR(M112="",AND(N112&lt;&gt;"",N(N112)&lt;Parámetros!$B$15)),"",MAX(0,MIN(100,(M112-1)/4*100)))</f>
        <v/>
      </c>
      <c r="AD112" s="47" t="str">
        <f aca="false">IF(OR(P112="",N(Q112)=0),"",MAX(0,MIN(100,((Q112/(Q112+Parámetros!$B$16))*P112+(Parámetros!$B$16/(Q112+Parámetros!$B$16))*Parámetros!$B$17-0.1)/0.4*100)))</f>
        <v/>
      </c>
      <c r="AE112" s="47" t="str">
        <f aca="false">IF(N(R112)&gt;0,MIN(100,S112/R112*100),"")</f>
        <v/>
      </c>
      <c r="AF112" s="47" t="str">
        <f aca="false">IF(N(U112)&gt;0,MIN(100,T112/(U112*5)*100),"")</f>
        <v/>
      </c>
      <c r="AG112" s="47" t="str">
        <f aca="false">IF(OR(V112="",N(W112)&lt;10),"",(V112-1)/4*100)</f>
        <v/>
      </c>
      <c r="AH112" s="47" t="str">
        <f aca="false">IF($C112="","",COUNT(X112:AG112))</f>
        <v/>
      </c>
      <c r="AI112" s="47" t="str">
        <f aca="false">IF(OR($C112="",N(AH112)&lt;Parámetros!$B$18),"",(IF(ISNUMBER(X112),X112*Parámetros!$B$2,0)+IF(ISNUMBER(Y112),Y112*Parámetros!$B$3,0)+IF(ISNUMBER(Z112),Z112*Parámetros!$B$4,0)+IF(ISNUMBER(AA112),AA112*Parámetros!$B$5,0)+IF(ISNUMBER(AB112),AB112*Parámetros!$B$6,0)+IF(ISNUMBER(AC112),AC112*Parámetros!$B$7,0)+IF(ISNUMBER(AD112),AD112*Parámetros!$B$8,0)+IF(ISNUMBER(AE112),AE112*Parámetros!$B$9,0)+IF(ISNUMBER(AF112),AF112*Parámetros!$B$10,0)+IF(ISNUMBER(AG112),AG112*Parámetros!$B$11,0))/(IF(ISNUMBER(X112),Parámetros!$B$2,0)+IF(ISNUMBER(Y112),Parámetros!$B$3,0)+IF(ISNUMBER(Z112),Parámetros!$B$4,0)+IF(ISNUMBER(AA112),Parámetros!$B$5,0)+IF(ISNUMBER(AB112),Parámetros!$B$6,0)+IF(ISNUMBER(AC112),Parámetros!$B$7,0)+IF(ISNUMBER(AD112),Parámetros!$B$8,0)+IF(ISNUMBER(AE112),Parámetros!$B$9,0)+IF(ISNUMBER(AF112),Parámetros!$B$10,0)+IF(ISNUMBER(AG112),Parámetros!$B$11,0)))</f>
        <v/>
      </c>
      <c r="AJ112" s="47" t="n">
        <f aca="false">IF(AND(ISNUMBER(Y112),N(Y112)&lt;60),69.9,IF(OR(AND(ISNUMBER(AE112),N(AE112)&lt;80),AND(ISNUMBER(AC112),N(AC112)&lt;50,N(O112)&gt;=2)),84.9,100))</f>
        <v>100</v>
      </c>
      <c r="AK112" s="47" t="str">
        <f aca="false">IF(AI112="","",MIN(AI112,AJ112))</f>
        <v/>
      </c>
      <c r="AL112" s="47" t="str">
        <f aca="false">IF($C112="","",IF(AK112="","Gris — menos de 3 fuentes",IF(AND(AK112&lt;Parámetros!$B$14,N112&lt;&gt;"",N(N112)&lt;Parámetros!$B$15,N(Y112)&gt;=60),"Gris — repetir observación",IF(AK112&gt;=Parámetros!$B$13,"Verde",IF(AK112&gt;=Parámetros!$B$14,"Amarillo","Rojo")))))</f>
        <v/>
      </c>
      <c r="AM112" s="47" t="str">
        <f aca="false">IF($C112="","",IF(AND(ISNUMBER(Y112),N(Y112)&lt;60),"Ejecución &lt; 60 %: rojo automático",IF(AND(ISNUMBER(AE112),N(AE112)&lt;80),"PIAR &lt; 80 %: máximo amarillo",IF(AND(ISNUMBER(AC112),N(AC112)&lt;50,N(O112)&gt;=2),"Observación &lt; 50: máximo amarillo",IF(AND(N112&lt;&gt;"",N(N112)&lt;Parámetros!$B$15),"κ &lt; 0,60: observación descartada, repetir","")))))</f>
        <v/>
      </c>
    </row>
    <row r="113" customFormat="false" ht="15" hidden="false" customHeight="fals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7" t="str">
        <f aca="false">IF(N(E113)&gt;0,MIN(100,F113/E113*100),"")</f>
        <v/>
      </c>
      <c r="Y113" s="47" t="str">
        <f aca="false">IF(N(G113)&gt;0,MIN(100,H113/G113*100),"")</f>
        <v/>
      </c>
      <c r="Z113" s="47" t="str">
        <f aca="false">IF(N(I113)&gt;0,MIN(100,J113/I113*100),"")</f>
        <v/>
      </c>
      <c r="AA113" s="47" t="str">
        <f aca="false">IF(K113="","",K113/24*100)</f>
        <v/>
      </c>
      <c r="AB113" s="47" t="str">
        <f aca="false">IF(L113="","",L113/3*100)</f>
        <v/>
      </c>
      <c r="AC113" s="47" t="str">
        <f aca="false">IF(OR(M113="",AND(N113&lt;&gt;"",N(N113)&lt;Parámetros!$B$15)),"",MAX(0,MIN(100,(M113-1)/4*100)))</f>
        <v/>
      </c>
      <c r="AD113" s="47" t="str">
        <f aca="false">IF(OR(P113="",N(Q113)=0),"",MAX(0,MIN(100,((Q113/(Q113+Parámetros!$B$16))*P113+(Parámetros!$B$16/(Q113+Parámetros!$B$16))*Parámetros!$B$17-0.1)/0.4*100)))</f>
        <v/>
      </c>
      <c r="AE113" s="47" t="str">
        <f aca="false">IF(N(R113)&gt;0,MIN(100,S113/R113*100),"")</f>
        <v/>
      </c>
      <c r="AF113" s="47" t="str">
        <f aca="false">IF(N(U113)&gt;0,MIN(100,T113/(U113*5)*100),"")</f>
        <v/>
      </c>
      <c r="AG113" s="47" t="str">
        <f aca="false">IF(OR(V113="",N(W113)&lt;10),"",(V113-1)/4*100)</f>
        <v/>
      </c>
      <c r="AH113" s="47" t="str">
        <f aca="false">IF($C113="","",COUNT(X113:AG113))</f>
        <v/>
      </c>
      <c r="AI113" s="47" t="str">
        <f aca="false">IF(OR($C113="",N(AH113)&lt;Parámetros!$B$18),"",(IF(ISNUMBER(X113),X113*Parámetros!$B$2,0)+IF(ISNUMBER(Y113),Y113*Parámetros!$B$3,0)+IF(ISNUMBER(Z113),Z113*Parámetros!$B$4,0)+IF(ISNUMBER(AA113),AA113*Parámetros!$B$5,0)+IF(ISNUMBER(AB113),AB113*Parámetros!$B$6,0)+IF(ISNUMBER(AC113),AC113*Parámetros!$B$7,0)+IF(ISNUMBER(AD113),AD113*Parámetros!$B$8,0)+IF(ISNUMBER(AE113),AE113*Parámetros!$B$9,0)+IF(ISNUMBER(AF113),AF113*Parámetros!$B$10,0)+IF(ISNUMBER(AG113),AG113*Parámetros!$B$11,0))/(IF(ISNUMBER(X113),Parámetros!$B$2,0)+IF(ISNUMBER(Y113),Parámetros!$B$3,0)+IF(ISNUMBER(Z113),Parámetros!$B$4,0)+IF(ISNUMBER(AA113),Parámetros!$B$5,0)+IF(ISNUMBER(AB113),Parámetros!$B$6,0)+IF(ISNUMBER(AC113),Parámetros!$B$7,0)+IF(ISNUMBER(AD113),Parámetros!$B$8,0)+IF(ISNUMBER(AE113),Parámetros!$B$9,0)+IF(ISNUMBER(AF113),Parámetros!$B$10,0)+IF(ISNUMBER(AG113),Parámetros!$B$11,0)))</f>
        <v/>
      </c>
      <c r="AJ113" s="47" t="n">
        <f aca="false">IF(AND(ISNUMBER(Y113),N(Y113)&lt;60),69.9,IF(OR(AND(ISNUMBER(AE113),N(AE113)&lt;80),AND(ISNUMBER(AC113),N(AC113)&lt;50,N(O113)&gt;=2)),84.9,100))</f>
        <v>100</v>
      </c>
      <c r="AK113" s="47" t="str">
        <f aca="false">IF(AI113="","",MIN(AI113,AJ113))</f>
        <v/>
      </c>
      <c r="AL113" s="47" t="str">
        <f aca="false">IF($C113="","",IF(AK113="","Gris — menos de 3 fuentes",IF(AND(AK113&lt;Parámetros!$B$14,N113&lt;&gt;"",N(N113)&lt;Parámetros!$B$15,N(Y113)&gt;=60),"Gris — repetir observación",IF(AK113&gt;=Parámetros!$B$13,"Verde",IF(AK113&gt;=Parámetros!$B$14,"Amarillo","Rojo")))))</f>
        <v/>
      </c>
      <c r="AM113" s="47" t="str">
        <f aca="false">IF($C113="","",IF(AND(ISNUMBER(Y113),N(Y113)&lt;60),"Ejecución &lt; 60 %: rojo automático",IF(AND(ISNUMBER(AE113),N(AE113)&lt;80),"PIAR &lt; 80 %: máximo amarillo",IF(AND(ISNUMBER(AC113),N(AC113)&lt;50,N(O113)&gt;=2),"Observación &lt; 50: máximo amarillo",IF(AND(N113&lt;&gt;"",N(N113)&lt;Parámetros!$B$15),"κ &lt; 0,60: observación descartada, repetir","")))))</f>
        <v/>
      </c>
    </row>
    <row r="114" customFormat="false" ht="15" hidden="false" customHeight="fals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7" t="str">
        <f aca="false">IF(N(E114)&gt;0,MIN(100,F114/E114*100),"")</f>
        <v/>
      </c>
      <c r="Y114" s="47" t="str">
        <f aca="false">IF(N(G114)&gt;0,MIN(100,H114/G114*100),"")</f>
        <v/>
      </c>
      <c r="Z114" s="47" t="str">
        <f aca="false">IF(N(I114)&gt;0,MIN(100,J114/I114*100),"")</f>
        <v/>
      </c>
      <c r="AA114" s="47" t="str">
        <f aca="false">IF(K114="","",K114/24*100)</f>
        <v/>
      </c>
      <c r="AB114" s="47" t="str">
        <f aca="false">IF(L114="","",L114/3*100)</f>
        <v/>
      </c>
      <c r="AC114" s="47" t="str">
        <f aca="false">IF(OR(M114="",AND(N114&lt;&gt;"",N(N114)&lt;Parámetros!$B$15)),"",MAX(0,MIN(100,(M114-1)/4*100)))</f>
        <v/>
      </c>
      <c r="AD114" s="47" t="str">
        <f aca="false">IF(OR(P114="",N(Q114)=0),"",MAX(0,MIN(100,((Q114/(Q114+Parámetros!$B$16))*P114+(Parámetros!$B$16/(Q114+Parámetros!$B$16))*Parámetros!$B$17-0.1)/0.4*100)))</f>
        <v/>
      </c>
      <c r="AE114" s="47" t="str">
        <f aca="false">IF(N(R114)&gt;0,MIN(100,S114/R114*100),"")</f>
        <v/>
      </c>
      <c r="AF114" s="47" t="str">
        <f aca="false">IF(N(U114)&gt;0,MIN(100,T114/(U114*5)*100),"")</f>
        <v/>
      </c>
      <c r="AG114" s="47" t="str">
        <f aca="false">IF(OR(V114="",N(W114)&lt;10),"",(V114-1)/4*100)</f>
        <v/>
      </c>
      <c r="AH114" s="47" t="str">
        <f aca="false">IF($C114="","",COUNT(X114:AG114))</f>
        <v/>
      </c>
      <c r="AI114" s="47" t="str">
        <f aca="false">IF(OR($C114="",N(AH114)&lt;Parámetros!$B$18),"",(IF(ISNUMBER(X114),X114*Parámetros!$B$2,0)+IF(ISNUMBER(Y114),Y114*Parámetros!$B$3,0)+IF(ISNUMBER(Z114),Z114*Parámetros!$B$4,0)+IF(ISNUMBER(AA114),AA114*Parámetros!$B$5,0)+IF(ISNUMBER(AB114),AB114*Parámetros!$B$6,0)+IF(ISNUMBER(AC114),AC114*Parámetros!$B$7,0)+IF(ISNUMBER(AD114),AD114*Parámetros!$B$8,0)+IF(ISNUMBER(AE114),AE114*Parámetros!$B$9,0)+IF(ISNUMBER(AF114),AF114*Parámetros!$B$10,0)+IF(ISNUMBER(AG114),AG114*Parámetros!$B$11,0))/(IF(ISNUMBER(X114),Parámetros!$B$2,0)+IF(ISNUMBER(Y114),Parámetros!$B$3,0)+IF(ISNUMBER(Z114),Parámetros!$B$4,0)+IF(ISNUMBER(AA114),Parámetros!$B$5,0)+IF(ISNUMBER(AB114),Parámetros!$B$6,0)+IF(ISNUMBER(AC114),Parámetros!$B$7,0)+IF(ISNUMBER(AD114),Parámetros!$B$8,0)+IF(ISNUMBER(AE114),Parámetros!$B$9,0)+IF(ISNUMBER(AF114),Parámetros!$B$10,0)+IF(ISNUMBER(AG114),Parámetros!$B$11,0)))</f>
        <v/>
      </c>
      <c r="AJ114" s="47" t="n">
        <f aca="false">IF(AND(ISNUMBER(Y114),N(Y114)&lt;60),69.9,IF(OR(AND(ISNUMBER(AE114),N(AE114)&lt;80),AND(ISNUMBER(AC114),N(AC114)&lt;50,N(O114)&gt;=2)),84.9,100))</f>
        <v>100</v>
      </c>
      <c r="AK114" s="47" t="str">
        <f aca="false">IF(AI114="","",MIN(AI114,AJ114))</f>
        <v/>
      </c>
      <c r="AL114" s="47" t="str">
        <f aca="false">IF($C114="","",IF(AK114="","Gris — menos de 3 fuentes",IF(AND(AK114&lt;Parámetros!$B$14,N114&lt;&gt;"",N(N114)&lt;Parámetros!$B$15,N(Y114)&gt;=60),"Gris — repetir observación",IF(AK114&gt;=Parámetros!$B$13,"Verde",IF(AK114&gt;=Parámetros!$B$14,"Amarillo","Rojo")))))</f>
        <v/>
      </c>
      <c r="AM114" s="47" t="str">
        <f aca="false">IF($C114="","",IF(AND(ISNUMBER(Y114),N(Y114)&lt;60),"Ejecución &lt; 60 %: rojo automático",IF(AND(ISNUMBER(AE114),N(AE114)&lt;80),"PIAR &lt; 80 %: máximo amarillo",IF(AND(ISNUMBER(AC114),N(AC114)&lt;50,N(O114)&gt;=2),"Observación &lt; 50: máximo amarillo",IF(AND(N114&lt;&gt;"",N(N114)&lt;Parámetros!$B$15),"κ &lt; 0,60: observación descartada, repetir","")))))</f>
        <v/>
      </c>
    </row>
    <row r="115" customFormat="false" ht="15" hidden="false" customHeight="fals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7" t="str">
        <f aca="false">IF(N(E115)&gt;0,MIN(100,F115/E115*100),"")</f>
        <v/>
      </c>
      <c r="Y115" s="47" t="str">
        <f aca="false">IF(N(G115)&gt;0,MIN(100,H115/G115*100),"")</f>
        <v/>
      </c>
      <c r="Z115" s="47" t="str">
        <f aca="false">IF(N(I115)&gt;0,MIN(100,J115/I115*100),"")</f>
        <v/>
      </c>
      <c r="AA115" s="47" t="str">
        <f aca="false">IF(K115="","",K115/24*100)</f>
        <v/>
      </c>
      <c r="AB115" s="47" t="str">
        <f aca="false">IF(L115="","",L115/3*100)</f>
        <v/>
      </c>
      <c r="AC115" s="47" t="str">
        <f aca="false">IF(OR(M115="",AND(N115&lt;&gt;"",N(N115)&lt;Parámetros!$B$15)),"",MAX(0,MIN(100,(M115-1)/4*100)))</f>
        <v/>
      </c>
      <c r="AD115" s="47" t="str">
        <f aca="false">IF(OR(P115="",N(Q115)=0),"",MAX(0,MIN(100,((Q115/(Q115+Parámetros!$B$16))*P115+(Parámetros!$B$16/(Q115+Parámetros!$B$16))*Parámetros!$B$17-0.1)/0.4*100)))</f>
        <v/>
      </c>
      <c r="AE115" s="47" t="str">
        <f aca="false">IF(N(R115)&gt;0,MIN(100,S115/R115*100),"")</f>
        <v/>
      </c>
      <c r="AF115" s="47" t="str">
        <f aca="false">IF(N(U115)&gt;0,MIN(100,T115/(U115*5)*100),"")</f>
        <v/>
      </c>
      <c r="AG115" s="47" t="str">
        <f aca="false">IF(OR(V115="",N(W115)&lt;10),"",(V115-1)/4*100)</f>
        <v/>
      </c>
      <c r="AH115" s="47" t="str">
        <f aca="false">IF($C115="","",COUNT(X115:AG115))</f>
        <v/>
      </c>
      <c r="AI115" s="47" t="str">
        <f aca="false">IF(OR($C115="",N(AH115)&lt;Parámetros!$B$18),"",(IF(ISNUMBER(X115),X115*Parámetros!$B$2,0)+IF(ISNUMBER(Y115),Y115*Parámetros!$B$3,0)+IF(ISNUMBER(Z115),Z115*Parámetros!$B$4,0)+IF(ISNUMBER(AA115),AA115*Parámetros!$B$5,0)+IF(ISNUMBER(AB115),AB115*Parámetros!$B$6,0)+IF(ISNUMBER(AC115),AC115*Parámetros!$B$7,0)+IF(ISNUMBER(AD115),AD115*Parámetros!$B$8,0)+IF(ISNUMBER(AE115),AE115*Parámetros!$B$9,0)+IF(ISNUMBER(AF115),AF115*Parámetros!$B$10,0)+IF(ISNUMBER(AG115),AG115*Parámetros!$B$11,0))/(IF(ISNUMBER(X115),Parámetros!$B$2,0)+IF(ISNUMBER(Y115),Parámetros!$B$3,0)+IF(ISNUMBER(Z115),Parámetros!$B$4,0)+IF(ISNUMBER(AA115),Parámetros!$B$5,0)+IF(ISNUMBER(AB115),Parámetros!$B$6,0)+IF(ISNUMBER(AC115),Parámetros!$B$7,0)+IF(ISNUMBER(AD115),Parámetros!$B$8,0)+IF(ISNUMBER(AE115),Parámetros!$B$9,0)+IF(ISNUMBER(AF115),Parámetros!$B$10,0)+IF(ISNUMBER(AG115),Parámetros!$B$11,0)))</f>
        <v/>
      </c>
      <c r="AJ115" s="47" t="n">
        <f aca="false">IF(AND(ISNUMBER(Y115),N(Y115)&lt;60),69.9,IF(OR(AND(ISNUMBER(AE115),N(AE115)&lt;80),AND(ISNUMBER(AC115),N(AC115)&lt;50,N(O115)&gt;=2)),84.9,100))</f>
        <v>100</v>
      </c>
      <c r="AK115" s="47" t="str">
        <f aca="false">IF(AI115="","",MIN(AI115,AJ115))</f>
        <v/>
      </c>
      <c r="AL115" s="47" t="str">
        <f aca="false">IF($C115="","",IF(AK115="","Gris — menos de 3 fuentes",IF(AND(AK115&lt;Parámetros!$B$14,N115&lt;&gt;"",N(N115)&lt;Parámetros!$B$15,N(Y115)&gt;=60),"Gris — repetir observación",IF(AK115&gt;=Parámetros!$B$13,"Verde",IF(AK115&gt;=Parámetros!$B$14,"Amarillo","Rojo")))))</f>
        <v/>
      </c>
      <c r="AM115" s="47" t="str">
        <f aca="false">IF($C115="","",IF(AND(ISNUMBER(Y115),N(Y115)&lt;60),"Ejecución &lt; 60 %: rojo automático",IF(AND(ISNUMBER(AE115),N(AE115)&lt;80),"PIAR &lt; 80 %: máximo amarillo",IF(AND(ISNUMBER(AC115),N(AC115)&lt;50,N(O115)&gt;=2),"Observación &lt; 50: máximo amarillo",IF(AND(N115&lt;&gt;"",N(N115)&lt;Parámetros!$B$15),"κ &lt; 0,60: observación descartada, repetir","")))))</f>
        <v/>
      </c>
    </row>
    <row r="116" customFormat="false" ht="15" hidden="false" customHeight="fals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7" t="str">
        <f aca="false">IF(N(E116)&gt;0,MIN(100,F116/E116*100),"")</f>
        <v/>
      </c>
      <c r="Y116" s="47" t="str">
        <f aca="false">IF(N(G116)&gt;0,MIN(100,H116/G116*100),"")</f>
        <v/>
      </c>
      <c r="Z116" s="47" t="str">
        <f aca="false">IF(N(I116)&gt;0,MIN(100,J116/I116*100),"")</f>
        <v/>
      </c>
      <c r="AA116" s="47" t="str">
        <f aca="false">IF(K116="","",K116/24*100)</f>
        <v/>
      </c>
      <c r="AB116" s="47" t="str">
        <f aca="false">IF(L116="","",L116/3*100)</f>
        <v/>
      </c>
      <c r="AC116" s="47" t="str">
        <f aca="false">IF(OR(M116="",AND(N116&lt;&gt;"",N(N116)&lt;Parámetros!$B$15)),"",MAX(0,MIN(100,(M116-1)/4*100)))</f>
        <v/>
      </c>
      <c r="AD116" s="47" t="str">
        <f aca="false">IF(OR(P116="",N(Q116)=0),"",MAX(0,MIN(100,((Q116/(Q116+Parámetros!$B$16))*P116+(Parámetros!$B$16/(Q116+Parámetros!$B$16))*Parámetros!$B$17-0.1)/0.4*100)))</f>
        <v/>
      </c>
      <c r="AE116" s="47" t="str">
        <f aca="false">IF(N(R116)&gt;0,MIN(100,S116/R116*100),"")</f>
        <v/>
      </c>
      <c r="AF116" s="47" t="str">
        <f aca="false">IF(N(U116)&gt;0,MIN(100,T116/(U116*5)*100),"")</f>
        <v/>
      </c>
      <c r="AG116" s="47" t="str">
        <f aca="false">IF(OR(V116="",N(W116)&lt;10),"",(V116-1)/4*100)</f>
        <v/>
      </c>
      <c r="AH116" s="47" t="str">
        <f aca="false">IF($C116="","",COUNT(X116:AG116))</f>
        <v/>
      </c>
      <c r="AI116" s="47" t="str">
        <f aca="false">IF(OR($C116="",N(AH116)&lt;Parámetros!$B$18),"",(IF(ISNUMBER(X116),X116*Parámetros!$B$2,0)+IF(ISNUMBER(Y116),Y116*Parámetros!$B$3,0)+IF(ISNUMBER(Z116),Z116*Parámetros!$B$4,0)+IF(ISNUMBER(AA116),AA116*Parámetros!$B$5,0)+IF(ISNUMBER(AB116),AB116*Parámetros!$B$6,0)+IF(ISNUMBER(AC116),AC116*Parámetros!$B$7,0)+IF(ISNUMBER(AD116),AD116*Parámetros!$B$8,0)+IF(ISNUMBER(AE116),AE116*Parámetros!$B$9,0)+IF(ISNUMBER(AF116),AF116*Parámetros!$B$10,0)+IF(ISNUMBER(AG116),AG116*Parámetros!$B$11,0))/(IF(ISNUMBER(X116),Parámetros!$B$2,0)+IF(ISNUMBER(Y116),Parámetros!$B$3,0)+IF(ISNUMBER(Z116),Parámetros!$B$4,0)+IF(ISNUMBER(AA116),Parámetros!$B$5,0)+IF(ISNUMBER(AB116),Parámetros!$B$6,0)+IF(ISNUMBER(AC116),Parámetros!$B$7,0)+IF(ISNUMBER(AD116),Parámetros!$B$8,0)+IF(ISNUMBER(AE116),Parámetros!$B$9,0)+IF(ISNUMBER(AF116),Parámetros!$B$10,0)+IF(ISNUMBER(AG116),Parámetros!$B$11,0)))</f>
        <v/>
      </c>
      <c r="AJ116" s="47" t="n">
        <f aca="false">IF(AND(ISNUMBER(Y116),N(Y116)&lt;60),69.9,IF(OR(AND(ISNUMBER(AE116),N(AE116)&lt;80),AND(ISNUMBER(AC116),N(AC116)&lt;50,N(O116)&gt;=2)),84.9,100))</f>
        <v>100</v>
      </c>
      <c r="AK116" s="47" t="str">
        <f aca="false">IF(AI116="","",MIN(AI116,AJ116))</f>
        <v/>
      </c>
      <c r="AL116" s="47" t="str">
        <f aca="false">IF($C116="","",IF(AK116="","Gris — menos de 3 fuentes",IF(AND(AK116&lt;Parámetros!$B$14,N116&lt;&gt;"",N(N116)&lt;Parámetros!$B$15,N(Y116)&gt;=60),"Gris — repetir observación",IF(AK116&gt;=Parámetros!$B$13,"Verde",IF(AK116&gt;=Parámetros!$B$14,"Amarillo","Rojo")))))</f>
        <v/>
      </c>
      <c r="AM116" s="47" t="str">
        <f aca="false">IF($C116="","",IF(AND(ISNUMBER(Y116),N(Y116)&lt;60),"Ejecución &lt; 60 %: rojo automático",IF(AND(ISNUMBER(AE116),N(AE116)&lt;80),"PIAR &lt; 80 %: máximo amarillo",IF(AND(ISNUMBER(AC116),N(AC116)&lt;50,N(O116)&gt;=2),"Observación &lt; 50: máximo amarillo",IF(AND(N116&lt;&gt;"",N(N116)&lt;Parámetros!$B$15),"κ &lt; 0,60: observación descartada, repetir","")))))</f>
        <v/>
      </c>
    </row>
    <row r="117" customFormat="false" ht="15" hidden="false" customHeight="fals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7" t="str">
        <f aca="false">IF(N(E117)&gt;0,MIN(100,F117/E117*100),"")</f>
        <v/>
      </c>
      <c r="Y117" s="47" t="str">
        <f aca="false">IF(N(G117)&gt;0,MIN(100,H117/G117*100),"")</f>
        <v/>
      </c>
      <c r="Z117" s="47" t="str">
        <f aca="false">IF(N(I117)&gt;0,MIN(100,J117/I117*100),"")</f>
        <v/>
      </c>
      <c r="AA117" s="47" t="str">
        <f aca="false">IF(K117="","",K117/24*100)</f>
        <v/>
      </c>
      <c r="AB117" s="47" t="str">
        <f aca="false">IF(L117="","",L117/3*100)</f>
        <v/>
      </c>
      <c r="AC117" s="47" t="str">
        <f aca="false">IF(OR(M117="",AND(N117&lt;&gt;"",N(N117)&lt;Parámetros!$B$15)),"",MAX(0,MIN(100,(M117-1)/4*100)))</f>
        <v/>
      </c>
      <c r="AD117" s="47" t="str">
        <f aca="false">IF(OR(P117="",N(Q117)=0),"",MAX(0,MIN(100,((Q117/(Q117+Parámetros!$B$16))*P117+(Parámetros!$B$16/(Q117+Parámetros!$B$16))*Parámetros!$B$17-0.1)/0.4*100)))</f>
        <v/>
      </c>
      <c r="AE117" s="47" t="str">
        <f aca="false">IF(N(R117)&gt;0,MIN(100,S117/R117*100),"")</f>
        <v/>
      </c>
      <c r="AF117" s="47" t="str">
        <f aca="false">IF(N(U117)&gt;0,MIN(100,T117/(U117*5)*100),"")</f>
        <v/>
      </c>
      <c r="AG117" s="47" t="str">
        <f aca="false">IF(OR(V117="",N(W117)&lt;10),"",(V117-1)/4*100)</f>
        <v/>
      </c>
      <c r="AH117" s="47" t="str">
        <f aca="false">IF($C117="","",COUNT(X117:AG117))</f>
        <v/>
      </c>
      <c r="AI117" s="47" t="str">
        <f aca="false">IF(OR($C117="",N(AH117)&lt;Parámetros!$B$18),"",(IF(ISNUMBER(X117),X117*Parámetros!$B$2,0)+IF(ISNUMBER(Y117),Y117*Parámetros!$B$3,0)+IF(ISNUMBER(Z117),Z117*Parámetros!$B$4,0)+IF(ISNUMBER(AA117),AA117*Parámetros!$B$5,0)+IF(ISNUMBER(AB117),AB117*Parámetros!$B$6,0)+IF(ISNUMBER(AC117),AC117*Parámetros!$B$7,0)+IF(ISNUMBER(AD117),AD117*Parámetros!$B$8,0)+IF(ISNUMBER(AE117),AE117*Parámetros!$B$9,0)+IF(ISNUMBER(AF117),AF117*Parámetros!$B$10,0)+IF(ISNUMBER(AG117),AG117*Parámetros!$B$11,0))/(IF(ISNUMBER(X117),Parámetros!$B$2,0)+IF(ISNUMBER(Y117),Parámetros!$B$3,0)+IF(ISNUMBER(Z117),Parámetros!$B$4,0)+IF(ISNUMBER(AA117),Parámetros!$B$5,0)+IF(ISNUMBER(AB117),Parámetros!$B$6,0)+IF(ISNUMBER(AC117),Parámetros!$B$7,0)+IF(ISNUMBER(AD117),Parámetros!$B$8,0)+IF(ISNUMBER(AE117),Parámetros!$B$9,0)+IF(ISNUMBER(AF117),Parámetros!$B$10,0)+IF(ISNUMBER(AG117),Parámetros!$B$11,0)))</f>
        <v/>
      </c>
      <c r="AJ117" s="47" t="n">
        <f aca="false">IF(AND(ISNUMBER(Y117),N(Y117)&lt;60),69.9,IF(OR(AND(ISNUMBER(AE117),N(AE117)&lt;80),AND(ISNUMBER(AC117),N(AC117)&lt;50,N(O117)&gt;=2)),84.9,100))</f>
        <v>100</v>
      </c>
      <c r="AK117" s="47" t="str">
        <f aca="false">IF(AI117="","",MIN(AI117,AJ117))</f>
        <v/>
      </c>
      <c r="AL117" s="47" t="str">
        <f aca="false">IF($C117="","",IF(AK117="","Gris — menos de 3 fuentes",IF(AND(AK117&lt;Parámetros!$B$14,N117&lt;&gt;"",N(N117)&lt;Parámetros!$B$15,N(Y117)&gt;=60),"Gris — repetir observación",IF(AK117&gt;=Parámetros!$B$13,"Verde",IF(AK117&gt;=Parámetros!$B$14,"Amarillo","Rojo")))))</f>
        <v/>
      </c>
      <c r="AM117" s="47" t="str">
        <f aca="false">IF($C117="","",IF(AND(ISNUMBER(Y117),N(Y117)&lt;60),"Ejecución &lt; 60 %: rojo automático",IF(AND(ISNUMBER(AE117),N(AE117)&lt;80),"PIAR &lt; 80 %: máximo amarillo",IF(AND(ISNUMBER(AC117),N(AC117)&lt;50,N(O117)&gt;=2),"Observación &lt; 50: máximo amarillo",IF(AND(N117&lt;&gt;"",N(N117)&lt;Parámetros!$B$15),"κ &lt; 0,60: observación descartada, repetir","")))))</f>
        <v/>
      </c>
    </row>
    <row r="118" customFormat="false" ht="15" hidden="false" customHeight="fals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7" t="str">
        <f aca="false">IF(N(E118)&gt;0,MIN(100,F118/E118*100),"")</f>
        <v/>
      </c>
      <c r="Y118" s="47" t="str">
        <f aca="false">IF(N(G118)&gt;0,MIN(100,H118/G118*100),"")</f>
        <v/>
      </c>
      <c r="Z118" s="47" t="str">
        <f aca="false">IF(N(I118)&gt;0,MIN(100,J118/I118*100),"")</f>
        <v/>
      </c>
      <c r="AA118" s="47" t="str">
        <f aca="false">IF(K118="","",K118/24*100)</f>
        <v/>
      </c>
      <c r="AB118" s="47" t="str">
        <f aca="false">IF(L118="","",L118/3*100)</f>
        <v/>
      </c>
      <c r="AC118" s="47" t="str">
        <f aca="false">IF(OR(M118="",AND(N118&lt;&gt;"",N(N118)&lt;Parámetros!$B$15)),"",MAX(0,MIN(100,(M118-1)/4*100)))</f>
        <v/>
      </c>
      <c r="AD118" s="47" t="str">
        <f aca="false">IF(OR(P118="",N(Q118)=0),"",MAX(0,MIN(100,((Q118/(Q118+Parámetros!$B$16))*P118+(Parámetros!$B$16/(Q118+Parámetros!$B$16))*Parámetros!$B$17-0.1)/0.4*100)))</f>
        <v/>
      </c>
      <c r="AE118" s="47" t="str">
        <f aca="false">IF(N(R118)&gt;0,MIN(100,S118/R118*100),"")</f>
        <v/>
      </c>
      <c r="AF118" s="47" t="str">
        <f aca="false">IF(N(U118)&gt;0,MIN(100,T118/(U118*5)*100),"")</f>
        <v/>
      </c>
      <c r="AG118" s="47" t="str">
        <f aca="false">IF(OR(V118="",N(W118)&lt;10),"",(V118-1)/4*100)</f>
        <v/>
      </c>
      <c r="AH118" s="47" t="str">
        <f aca="false">IF($C118="","",COUNT(X118:AG118))</f>
        <v/>
      </c>
      <c r="AI118" s="47" t="str">
        <f aca="false">IF(OR($C118="",N(AH118)&lt;Parámetros!$B$18),"",(IF(ISNUMBER(X118),X118*Parámetros!$B$2,0)+IF(ISNUMBER(Y118),Y118*Parámetros!$B$3,0)+IF(ISNUMBER(Z118),Z118*Parámetros!$B$4,0)+IF(ISNUMBER(AA118),AA118*Parámetros!$B$5,0)+IF(ISNUMBER(AB118),AB118*Parámetros!$B$6,0)+IF(ISNUMBER(AC118),AC118*Parámetros!$B$7,0)+IF(ISNUMBER(AD118),AD118*Parámetros!$B$8,0)+IF(ISNUMBER(AE118),AE118*Parámetros!$B$9,0)+IF(ISNUMBER(AF118),AF118*Parámetros!$B$10,0)+IF(ISNUMBER(AG118),AG118*Parámetros!$B$11,0))/(IF(ISNUMBER(X118),Parámetros!$B$2,0)+IF(ISNUMBER(Y118),Parámetros!$B$3,0)+IF(ISNUMBER(Z118),Parámetros!$B$4,0)+IF(ISNUMBER(AA118),Parámetros!$B$5,0)+IF(ISNUMBER(AB118),Parámetros!$B$6,0)+IF(ISNUMBER(AC118),Parámetros!$B$7,0)+IF(ISNUMBER(AD118),Parámetros!$B$8,0)+IF(ISNUMBER(AE118),Parámetros!$B$9,0)+IF(ISNUMBER(AF118),Parámetros!$B$10,0)+IF(ISNUMBER(AG118),Parámetros!$B$11,0)))</f>
        <v/>
      </c>
      <c r="AJ118" s="47" t="n">
        <f aca="false">IF(AND(ISNUMBER(Y118),N(Y118)&lt;60),69.9,IF(OR(AND(ISNUMBER(AE118),N(AE118)&lt;80),AND(ISNUMBER(AC118),N(AC118)&lt;50,N(O118)&gt;=2)),84.9,100))</f>
        <v>100</v>
      </c>
      <c r="AK118" s="47" t="str">
        <f aca="false">IF(AI118="","",MIN(AI118,AJ118))</f>
        <v/>
      </c>
      <c r="AL118" s="47" t="str">
        <f aca="false">IF($C118="","",IF(AK118="","Gris — menos de 3 fuentes",IF(AND(AK118&lt;Parámetros!$B$14,N118&lt;&gt;"",N(N118)&lt;Parámetros!$B$15,N(Y118)&gt;=60),"Gris — repetir observación",IF(AK118&gt;=Parámetros!$B$13,"Verde",IF(AK118&gt;=Parámetros!$B$14,"Amarillo","Rojo")))))</f>
        <v/>
      </c>
      <c r="AM118" s="47" t="str">
        <f aca="false">IF($C118="","",IF(AND(ISNUMBER(Y118),N(Y118)&lt;60),"Ejecución &lt; 60 %: rojo automático",IF(AND(ISNUMBER(AE118),N(AE118)&lt;80),"PIAR &lt; 80 %: máximo amarillo",IF(AND(ISNUMBER(AC118),N(AC118)&lt;50,N(O118)&gt;=2),"Observación &lt; 50: máximo amarillo",IF(AND(N118&lt;&gt;"",N(N118)&lt;Parámetros!$B$15),"κ &lt; 0,60: observación descartada, repetir","")))))</f>
        <v/>
      </c>
    </row>
    <row r="119" customFormat="false" ht="15" hidden="false" customHeight="fals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7" t="str">
        <f aca="false">IF(N(E119)&gt;0,MIN(100,F119/E119*100),"")</f>
        <v/>
      </c>
      <c r="Y119" s="47" t="str">
        <f aca="false">IF(N(G119)&gt;0,MIN(100,H119/G119*100),"")</f>
        <v/>
      </c>
      <c r="Z119" s="47" t="str">
        <f aca="false">IF(N(I119)&gt;0,MIN(100,J119/I119*100),"")</f>
        <v/>
      </c>
      <c r="AA119" s="47" t="str">
        <f aca="false">IF(K119="","",K119/24*100)</f>
        <v/>
      </c>
      <c r="AB119" s="47" t="str">
        <f aca="false">IF(L119="","",L119/3*100)</f>
        <v/>
      </c>
      <c r="AC119" s="47" t="str">
        <f aca="false">IF(OR(M119="",AND(N119&lt;&gt;"",N(N119)&lt;Parámetros!$B$15)),"",MAX(0,MIN(100,(M119-1)/4*100)))</f>
        <v/>
      </c>
      <c r="AD119" s="47" t="str">
        <f aca="false">IF(OR(P119="",N(Q119)=0),"",MAX(0,MIN(100,((Q119/(Q119+Parámetros!$B$16))*P119+(Parámetros!$B$16/(Q119+Parámetros!$B$16))*Parámetros!$B$17-0.1)/0.4*100)))</f>
        <v/>
      </c>
      <c r="AE119" s="47" t="str">
        <f aca="false">IF(N(R119)&gt;0,MIN(100,S119/R119*100),"")</f>
        <v/>
      </c>
      <c r="AF119" s="47" t="str">
        <f aca="false">IF(N(U119)&gt;0,MIN(100,T119/(U119*5)*100),"")</f>
        <v/>
      </c>
      <c r="AG119" s="47" t="str">
        <f aca="false">IF(OR(V119="",N(W119)&lt;10),"",(V119-1)/4*100)</f>
        <v/>
      </c>
      <c r="AH119" s="47" t="str">
        <f aca="false">IF($C119="","",COUNT(X119:AG119))</f>
        <v/>
      </c>
      <c r="AI119" s="47" t="str">
        <f aca="false">IF(OR($C119="",N(AH119)&lt;Parámetros!$B$18),"",(IF(ISNUMBER(X119),X119*Parámetros!$B$2,0)+IF(ISNUMBER(Y119),Y119*Parámetros!$B$3,0)+IF(ISNUMBER(Z119),Z119*Parámetros!$B$4,0)+IF(ISNUMBER(AA119),AA119*Parámetros!$B$5,0)+IF(ISNUMBER(AB119),AB119*Parámetros!$B$6,0)+IF(ISNUMBER(AC119),AC119*Parámetros!$B$7,0)+IF(ISNUMBER(AD119),AD119*Parámetros!$B$8,0)+IF(ISNUMBER(AE119),AE119*Parámetros!$B$9,0)+IF(ISNUMBER(AF119),AF119*Parámetros!$B$10,0)+IF(ISNUMBER(AG119),AG119*Parámetros!$B$11,0))/(IF(ISNUMBER(X119),Parámetros!$B$2,0)+IF(ISNUMBER(Y119),Parámetros!$B$3,0)+IF(ISNUMBER(Z119),Parámetros!$B$4,0)+IF(ISNUMBER(AA119),Parámetros!$B$5,0)+IF(ISNUMBER(AB119),Parámetros!$B$6,0)+IF(ISNUMBER(AC119),Parámetros!$B$7,0)+IF(ISNUMBER(AD119),Parámetros!$B$8,0)+IF(ISNUMBER(AE119),Parámetros!$B$9,0)+IF(ISNUMBER(AF119),Parámetros!$B$10,0)+IF(ISNUMBER(AG119),Parámetros!$B$11,0)))</f>
        <v/>
      </c>
      <c r="AJ119" s="47" t="n">
        <f aca="false">IF(AND(ISNUMBER(Y119),N(Y119)&lt;60),69.9,IF(OR(AND(ISNUMBER(AE119),N(AE119)&lt;80),AND(ISNUMBER(AC119),N(AC119)&lt;50,N(O119)&gt;=2)),84.9,100))</f>
        <v>100</v>
      </c>
      <c r="AK119" s="47" t="str">
        <f aca="false">IF(AI119="","",MIN(AI119,AJ119))</f>
        <v/>
      </c>
      <c r="AL119" s="47" t="str">
        <f aca="false">IF($C119="","",IF(AK119="","Gris — menos de 3 fuentes",IF(AND(AK119&lt;Parámetros!$B$14,N119&lt;&gt;"",N(N119)&lt;Parámetros!$B$15,N(Y119)&gt;=60),"Gris — repetir observación",IF(AK119&gt;=Parámetros!$B$13,"Verde",IF(AK119&gt;=Parámetros!$B$14,"Amarillo","Rojo")))))</f>
        <v/>
      </c>
      <c r="AM119" s="47" t="str">
        <f aca="false">IF($C119="","",IF(AND(ISNUMBER(Y119),N(Y119)&lt;60),"Ejecución &lt; 60 %: rojo automático",IF(AND(ISNUMBER(AE119),N(AE119)&lt;80),"PIAR &lt; 80 %: máximo amarillo",IF(AND(ISNUMBER(AC119),N(AC119)&lt;50,N(O119)&gt;=2),"Observación &lt; 50: máximo amarillo",IF(AND(N119&lt;&gt;"",N(N119)&lt;Parámetros!$B$15),"κ &lt; 0,60: observación descartada, repetir","")))))</f>
        <v/>
      </c>
    </row>
    <row r="120" customFormat="false" ht="15" hidden="false" customHeight="fals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7" t="str">
        <f aca="false">IF(N(E120)&gt;0,MIN(100,F120/E120*100),"")</f>
        <v/>
      </c>
      <c r="Y120" s="47" t="str">
        <f aca="false">IF(N(G120)&gt;0,MIN(100,H120/G120*100),"")</f>
        <v/>
      </c>
      <c r="Z120" s="47" t="str">
        <f aca="false">IF(N(I120)&gt;0,MIN(100,J120/I120*100),"")</f>
        <v/>
      </c>
      <c r="AA120" s="47" t="str">
        <f aca="false">IF(K120="","",K120/24*100)</f>
        <v/>
      </c>
      <c r="AB120" s="47" t="str">
        <f aca="false">IF(L120="","",L120/3*100)</f>
        <v/>
      </c>
      <c r="AC120" s="47" t="str">
        <f aca="false">IF(OR(M120="",AND(N120&lt;&gt;"",N(N120)&lt;Parámetros!$B$15)),"",MAX(0,MIN(100,(M120-1)/4*100)))</f>
        <v/>
      </c>
      <c r="AD120" s="47" t="str">
        <f aca="false">IF(OR(P120="",N(Q120)=0),"",MAX(0,MIN(100,((Q120/(Q120+Parámetros!$B$16))*P120+(Parámetros!$B$16/(Q120+Parámetros!$B$16))*Parámetros!$B$17-0.1)/0.4*100)))</f>
        <v/>
      </c>
      <c r="AE120" s="47" t="str">
        <f aca="false">IF(N(R120)&gt;0,MIN(100,S120/R120*100),"")</f>
        <v/>
      </c>
      <c r="AF120" s="47" t="str">
        <f aca="false">IF(N(U120)&gt;0,MIN(100,T120/(U120*5)*100),"")</f>
        <v/>
      </c>
      <c r="AG120" s="47" t="str">
        <f aca="false">IF(OR(V120="",N(W120)&lt;10),"",(V120-1)/4*100)</f>
        <v/>
      </c>
      <c r="AH120" s="47" t="str">
        <f aca="false">IF($C120="","",COUNT(X120:AG120))</f>
        <v/>
      </c>
      <c r="AI120" s="47" t="str">
        <f aca="false">IF(OR($C120="",N(AH120)&lt;Parámetros!$B$18),"",(IF(ISNUMBER(X120),X120*Parámetros!$B$2,0)+IF(ISNUMBER(Y120),Y120*Parámetros!$B$3,0)+IF(ISNUMBER(Z120),Z120*Parámetros!$B$4,0)+IF(ISNUMBER(AA120),AA120*Parámetros!$B$5,0)+IF(ISNUMBER(AB120),AB120*Parámetros!$B$6,0)+IF(ISNUMBER(AC120),AC120*Parámetros!$B$7,0)+IF(ISNUMBER(AD120),AD120*Parámetros!$B$8,0)+IF(ISNUMBER(AE120),AE120*Parámetros!$B$9,0)+IF(ISNUMBER(AF120),AF120*Parámetros!$B$10,0)+IF(ISNUMBER(AG120),AG120*Parámetros!$B$11,0))/(IF(ISNUMBER(X120),Parámetros!$B$2,0)+IF(ISNUMBER(Y120),Parámetros!$B$3,0)+IF(ISNUMBER(Z120),Parámetros!$B$4,0)+IF(ISNUMBER(AA120),Parámetros!$B$5,0)+IF(ISNUMBER(AB120),Parámetros!$B$6,0)+IF(ISNUMBER(AC120),Parámetros!$B$7,0)+IF(ISNUMBER(AD120),Parámetros!$B$8,0)+IF(ISNUMBER(AE120),Parámetros!$B$9,0)+IF(ISNUMBER(AF120),Parámetros!$B$10,0)+IF(ISNUMBER(AG120),Parámetros!$B$11,0)))</f>
        <v/>
      </c>
      <c r="AJ120" s="47" t="n">
        <f aca="false">IF(AND(ISNUMBER(Y120),N(Y120)&lt;60),69.9,IF(OR(AND(ISNUMBER(AE120),N(AE120)&lt;80),AND(ISNUMBER(AC120),N(AC120)&lt;50,N(O120)&gt;=2)),84.9,100))</f>
        <v>100</v>
      </c>
      <c r="AK120" s="47" t="str">
        <f aca="false">IF(AI120="","",MIN(AI120,AJ120))</f>
        <v/>
      </c>
      <c r="AL120" s="47" t="str">
        <f aca="false">IF($C120="","",IF(AK120="","Gris — menos de 3 fuentes",IF(AND(AK120&lt;Parámetros!$B$14,N120&lt;&gt;"",N(N120)&lt;Parámetros!$B$15,N(Y120)&gt;=60),"Gris — repetir observación",IF(AK120&gt;=Parámetros!$B$13,"Verde",IF(AK120&gt;=Parámetros!$B$14,"Amarillo","Rojo")))))</f>
        <v/>
      </c>
      <c r="AM120" s="47" t="str">
        <f aca="false">IF($C120="","",IF(AND(ISNUMBER(Y120),N(Y120)&lt;60),"Ejecución &lt; 60 %: rojo automático",IF(AND(ISNUMBER(AE120),N(AE120)&lt;80),"PIAR &lt; 80 %: máximo amarillo",IF(AND(ISNUMBER(AC120),N(AC120)&lt;50,N(O120)&gt;=2),"Observación &lt; 50: máximo amarillo",IF(AND(N120&lt;&gt;"",N(N120)&lt;Parámetros!$B$15),"κ &lt; 0,60: observación descartada, repetir","")))))</f>
        <v/>
      </c>
    </row>
    <row r="121" customFormat="false" ht="15" hidden="false" customHeight="fals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7" t="str">
        <f aca="false">IF(N(E121)&gt;0,MIN(100,F121/E121*100),"")</f>
        <v/>
      </c>
      <c r="Y121" s="47" t="str">
        <f aca="false">IF(N(G121)&gt;0,MIN(100,H121/G121*100),"")</f>
        <v/>
      </c>
      <c r="Z121" s="47" t="str">
        <f aca="false">IF(N(I121)&gt;0,MIN(100,J121/I121*100),"")</f>
        <v/>
      </c>
      <c r="AA121" s="47" t="str">
        <f aca="false">IF(K121="","",K121/24*100)</f>
        <v/>
      </c>
      <c r="AB121" s="47" t="str">
        <f aca="false">IF(L121="","",L121/3*100)</f>
        <v/>
      </c>
      <c r="AC121" s="47" t="str">
        <f aca="false">IF(OR(M121="",AND(N121&lt;&gt;"",N(N121)&lt;Parámetros!$B$15)),"",MAX(0,MIN(100,(M121-1)/4*100)))</f>
        <v/>
      </c>
      <c r="AD121" s="47" t="str">
        <f aca="false">IF(OR(P121="",N(Q121)=0),"",MAX(0,MIN(100,((Q121/(Q121+Parámetros!$B$16))*P121+(Parámetros!$B$16/(Q121+Parámetros!$B$16))*Parámetros!$B$17-0.1)/0.4*100)))</f>
        <v/>
      </c>
      <c r="AE121" s="47" t="str">
        <f aca="false">IF(N(R121)&gt;0,MIN(100,S121/R121*100),"")</f>
        <v/>
      </c>
      <c r="AF121" s="47" t="str">
        <f aca="false">IF(N(U121)&gt;0,MIN(100,T121/(U121*5)*100),"")</f>
        <v/>
      </c>
      <c r="AG121" s="47" t="str">
        <f aca="false">IF(OR(V121="",N(W121)&lt;10),"",(V121-1)/4*100)</f>
        <v/>
      </c>
      <c r="AH121" s="47" t="str">
        <f aca="false">IF($C121="","",COUNT(X121:AG121))</f>
        <v/>
      </c>
      <c r="AI121" s="47" t="str">
        <f aca="false">IF(OR($C121="",N(AH121)&lt;Parámetros!$B$18),"",(IF(ISNUMBER(X121),X121*Parámetros!$B$2,0)+IF(ISNUMBER(Y121),Y121*Parámetros!$B$3,0)+IF(ISNUMBER(Z121),Z121*Parámetros!$B$4,0)+IF(ISNUMBER(AA121),AA121*Parámetros!$B$5,0)+IF(ISNUMBER(AB121),AB121*Parámetros!$B$6,0)+IF(ISNUMBER(AC121),AC121*Parámetros!$B$7,0)+IF(ISNUMBER(AD121),AD121*Parámetros!$B$8,0)+IF(ISNUMBER(AE121),AE121*Parámetros!$B$9,0)+IF(ISNUMBER(AF121),AF121*Parámetros!$B$10,0)+IF(ISNUMBER(AG121),AG121*Parámetros!$B$11,0))/(IF(ISNUMBER(X121),Parámetros!$B$2,0)+IF(ISNUMBER(Y121),Parámetros!$B$3,0)+IF(ISNUMBER(Z121),Parámetros!$B$4,0)+IF(ISNUMBER(AA121),Parámetros!$B$5,0)+IF(ISNUMBER(AB121),Parámetros!$B$6,0)+IF(ISNUMBER(AC121),Parámetros!$B$7,0)+IF(ISNUMBER(AD121),Parámetros!$B$8,0)+IF(ISNUMBER(AE121),Parámetros!$B$9,0)+IF(ISNUMBER(AF121),Parámetros!$B$10,0)+IF(ISNUMBER(AG121),Parámetros!$B$11,0)))</f>
        <v/>
      </c>
      <c r="AJ121" s="47" t="n">
        <f aca="false">IF(AND(ISNUMBER(Y121),N(Y121)&lt;60),69.9,IF(OR(AND(ISNUMBER(AE121),N(AE121)&lt;80),AND(ISNUMBER(AC121),N(AC121)&lt;50,N(O121)&gt;=2)),84.9,100))</f>
        <v>100</v>
      </c>
      <c r="AK121" s="47" t="str">
        <f aca="false">IF(AI121="","",MIN(AI121,AJ121))</f>
        <v/>
      </c>
      <c r="AL121" s="47" t="str">
        <f aca="false">IF($C121="","",IF(AK121="","Gris — menos de 3 fuentes",IF(AND(AK121&lt;Parámetros!$B$14,N121&lt;&gt;"",N(N121)&lt;Parámetros!$B$15,N(Y121)&gt;=60),"Gris — repetir observación",IF(AK121&gt;=Parámetros!$B$13,"Verde",IF(AK121&gt;=Parámetros!$B$14,"Amarillo","Rojo")))))</f>
        <v/>
      </c>
      <c r="AM121" s="47" t="str">
        <f aca="false">IF($C121="","",IF(AND(ISNUMBER(Y121),N(Y121)&lt;60),"Ejecución &lt; 60 %: rojo automático",IF(AND(ISNUMBER(AE121),N(AE121)&lt;80),"PIAR &lt; 80 %: máximo amarillo",IF(AND(ISNUMBER(AC121),N(AC121)&lt;50,N(O121)&gt;=2),"Observación &lt; 50: máximo amarillo",IF(AND(N121&lt;&gt;"",N(N121)&lt;Parámetros!$B$15),"κ &lt; 0,60: observación descartada, repetir","")))))</f>
        <v/>
      </c>
    </row>
    <row r="122" customFormat="false" ht="15" hidden="false" customHeight="fals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7" t="str">
        <f aca="false">IF(N(E122)&gt;0,MIN(100,F122/E122*100),"")</f>
        <v/>
      </c>
      <c r="Y122" s="47" t="str">
        <f aca="false">IF(N(G122)&gt;0,MIN(100,H122/G122*100),"")</f>
        <v/>
      </c>
      <c r="Z122" s="47" t="str">
        <f aca="false">IF(N(I122)&gt;0,MIN(100,J122/I122*100),"")</f>
        <v/>
      </c>
      <c r="AA122" s="47" t="str">
        <f aca="false">IF(K122="","",K122/24*100)</f>
        <v/>
      </c>
      <c r="AB122" s="47" t="str">
        <f aca="false">IF(L122="","",L122/3*100)</f>
        <v/>
      </c>
      <c r="AC122" s="47" t="str">
        <f aca="false">IF(OR(M122="",AND(N122&lt;&gt;"",N(N122)&lt;Parámetros!$B$15)),"",MAX(0,MIN(100,(M122-1)/4*100)))</f>
        <v/>
      </c>
      <c r="AD122" s="47" t="str">
        <f aca="false">IF(OR(P122="",N(Q122)=0),"",MAX(0,MIN(100,((Q122/(Q122+Parámetros!$B$16))*P122+(Parámetros!$B$16/(Q122+Parámetros!$B$16))*Parámetros!$B$17-0.1)/0.4*100)))</f>
        <v/>
      </c>
      <c r="AE122" s="47" t="str">
        <f aca="false">IF(N(R122)&gt;0,MIN(100,S122/R122*100),"")</f>
        <v/>
      </c>
      <c r="AF122" s="47" t="str">
        <f aca="false">IF(N(U122)&gt;0,MIN(100,T122/(U122*5)*100),"")</f>
        <v/>
      </c>
      <c r="AG122" s="47" t="str">
        <f aca="false">IF(OR(V122="",N(W122)&lt;10),"",(V122-1)/4*100)</f>
        <v/>
      </c>
      <c r="AH122" s="47" t="str">
        <f aca="false">IF($C122="","",COUNT(X122:AG122))</f>
        <v/>
      </c>
      <c r="AI122" s="47" t="str">
        <f aca="false">IF(OR($C122="",N(AH122)&lt;Parámetros!$B$18),"",(IF(ISNUMBER(X122),X122*Parámetros!$B$2,0)+IF(ISNUMBER(Y122),Y122*Parámetros!$B$3,0)+IF(ISNUMBER(Z122),Z122*Parámetros!$B$4,0)+IF(ISNUMBER(AA122),AA122*Parámetros!$B$5,0)+IF(ISNUMBER(AB122),AB122*Parámetros!$B$6,0)+IF(ISNUMBER(AC122),AC122*Parámetros!$B$7,0)+IF(ISNUMBER(AD122),AD122*Parámetros!$B$8,0)+IF(ISNUMBER(AE122),AE122*Parámetros!$B$9,0)+IF(ISNUMBER(AF122),AF122*Parámetros!$B$10,0)+IF(ISNUMBER(AG122),AG122*Parámetros!$B$11,0))/(IF(ISNUMBER(X122),Parámetros!$B$2,0)+IF(ISNUMBER(Y122),Parámetros!$B$3,0)+IF(ISNUMBER(Z122),Parámetros!$B$4,0)+IF(ISNUMBER(AA122),Parámetros!$B$5,0)+IF(ISNUMBER(AB122),Parámetros!$B$6,0)+IF(ISNUMBER(AC122),Parámetros!$B$7,0)+IF(ISNUMBER(AD122),Parámetros!$B$8,0)+IF(ISNUMBER(AE122),Parámetros!$B$9,0)+IF(ISNUMBER(AF122),Parámetros!$B$10,0)+IF(ISNUMBER(AG122),Parámetros!$B$11,0)))</f>
        <v/>
      </c>
      <c r="AJ122" s="47" t="n">
        <f aca="false">IF(AND(ISNUMBER(Y122),N(Y122)&lt;60),69.9,IF(OR(AND(ISNUMBER(AE122),N(AE122)&lt;80),AND(ISNUMBER(AC122),N(AC122)&lt;50,N(O122)&gt;=2)),84.9,100))</f>
        <v>100</v>
      </c>
      <c r="AK122" s="47" t="str">
        <f aca="false">IF(AI122="","",MIN(AI122,AJ122))</f>
        <v/>
      </c>
      <c r="AL122" s="47" t="str">
        <f aca="false">IF($C122="","",IF(AK122="","Gris — menos de 3 fuentes",IF(AND(AK122&lt;Parámetros!$B$14,N122&lt;&gt;"",N(N122)&lt;Parámetros!$B$15,N(Y122)&gt;=60),"Gris — repetir observación",IF(AK122&gt;=Parámetros!$B$13,"Verde",IF(AK122&gt;=Parámetros!$B$14,"Amarillo","Rojo")))))</f>
        <v/>
      </c>
      <c r="AM122" s="47" t="str">
        <f aca="false">IF($C122="","",IF(AND(ISNUMBER(Y122),N(Y122)&lt;60),"Ejecución &lt; 60 %: rojo automático",IF(AND(ISNUMBER(AE122),N(AE122)&lt;80),"PIAR &lt; 80 %: máximo amarillo",IF(AND(ISNUMBER(AC122),N(AC122)&lt;50,N(O122)&gt;=2),"Observación &lt; 50: máximo amarillo",IF(AND(N122&lt;&gt;"",N(N122)&lt;Parámetros!$B$15),"κ &lt; 0,60: observación descartada, repetir","")))))</f>
        <v/>
      </c>
    </row>
    <row r="123" customFormat="false" ht="15" hidden="false" customHeight="fals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7" t="str">
        <f aca="false">IF(N(E123)&gt;0,MIN(100,F123/E123*100),"")</f>
        <v/>
      </c>
      <c r="Y123" s="47" t="str">
        <f aca="false">IF(N(G123)&gt;0,MIN(100,H123/G123*100),"")</f>
        <v/>
      </c>
      <c r="Z123" s="47" t="str">
        <f aca="false">IF(N(I123)&gt;0,MIN(100,J123/I123*100),"")</f>
        <v/>
      </c>
      <c r="AA123" s="47" t="str">
        <f aca="false">IF(K123="","",K123/24*100)</f>
        <v/>
      </c>
      <c r="AB123" s="47" t="str">
        <f aca="false">IF(L123="","",L123/3*100)</f>
        <v/>
      </c>
      <c r="AC123" s="47" t="str">
        <f aca="false">IF(OR(M123="",AND(N123&lt;&gt;"",N(N123)&lt;Parámetros!$B$15)),"",MAX(0,MIN(100,(M123-1)/4*100)))</f>
        <v/>
      </c>
      <c r="AD123" s="47" t="str">
        <f aca="false">IF(OR(P123="",N(Q123)=0),"",MAX(0,MIN(100,((Q123/(Q123+Parámetros!$B$16))*P123+(Parámetros!$B$16/(Q123+Parámetros!$B$16))*Parámetros!$B$17-0.1)/0.4*100)))</f>
        <v/>
      </c>
      <c r="AE123" s="47" t="str">
        <f aca="false">IF(N(R123)&gt;0,MIN(100,S123/R123*100),"")</f>
        <v/>
      </c>
      <c r="AF123" s="47" t="str">
        <f aca="false">IF(N(U123)&gt;0,MIN(100,T123/(U123*5)*100),"")</f>
        <v/>
      </c>
      <c r="AG123" s="47" t="str">
        <f aca="false">IF(OR(V123="",N(W123)&lt;10),"",(V123-1)/4*100)</f>
        <v/>
      </c>
      <c r="AH123" s="47" t="str">
        <f aca="false">IF($C123="","",COUNT(X123:AG123))</f>
        <v/>
      </c>
      <c r="AI123" s="47" t="str">
        <f aca="false">IF(OR($C123="",N(AH123)&lt;Parámetros!$B$18),"",(IF(ISNUMBER(X123),X123*Parámetros!$B$2,0)+IF(ISNUMBER(Y123),Y123*Parámetros!$B$3,0)+IF(ISNUMBER(Z123),Z123*Parámetros!$B$4,0)+IF(ISNUMBER(AA123),AA123*Parámetros!$B$5,0)+IF(ISNUMBER(AB123),AB123*Parámetros!$B$6,0)+IF(ISNUMBER(AC123),AC123*Parámetros!$B$7,0)+IF(ISNUMBER(AD123),AD123*Parámetros!$B$8,0)+IF(ISNUMBER(AE123),AE123*Parámetros!$B$9,0)+IF(ISNUMBER(AF123),AF123*Parámetros!$B$10,0)+IF(ISNUMBER(AG123),AG123*Parámetros!$B$11,0))/(IF(ISNUMBER(X123),Parámetros!$B$2,0)+IF(ISNUMBER(Y123),Parámetros!$B$3,0)+IF(ISNUMBER(Z123),Parámetros!$B$4,0)+IF(ISNUMBER(AA123),Parámetros!$B$5,0)+IF(ISNUMBER(AB123),Parámetros!$B$6,0)+IF(ISNUMBER(AC123),Parámetros!$B$7,0)+IF(ISNUMBER(AD123),Parámetros!$B$8,0)+IF(ISNUMBER(AE123),Parámetros!$B$9,0)+IF(ISNUMBER(AF123),Parámetros!$B$10,0)+IF(ISNUMBER(AG123),Parámetros!$B$11,0)))</f>
        <v/>
      </c>
      <c r="AJ123" s="47" t="n">
        <f aca="false">IF(AND(ISNUMBER(Y123),N(Y123)&lt;60),69.9,IF(OR(AND(ISNUMBER(AE123),N(AE123)&lt;80),AND(ISNUMBER(AC123),N(AC123)&lt;50,N(O123)&gt;=2)),84.9,100))</f>
        <v>100</v>
      </c>
      <c r="AK123" s="47" t="str">
        <f aca="false">IF(AI123="","",MIN(AI123,AJ123))</f>
        <v/>
      </c>
      <c r="AL123" s="47" t="str">
        <f aca="false">IF($C123="","",IF(AK123="","Gris — menos de 3 fuentes",IF(AND(AK123&lt;Parámetros!$B$14,N123&lt;&gt;"",N(N123)&lt;Parámetros!$B$15,N(Y123)&gt;=60),"Gris — repetir observación",IF(AK123&gt;=Parámetros!$B$13,"Verde",IF(AK123&gt;=Parámetros!$B$14,"Amarillo","Rojo")))))</f>
        <v/>
      </c>
      <c r="AM123" s="47" t="str">
        <f aca="false">IF($C123="","",IF(AND(ISNUMBER(Y123),N(Y123)&lt;60),"Ejecución &lt; 60 %: rojo automático",IF(AND(ISNUMBER(AE123),N(AE123)&lt;80),"PIAR &lt; 80 %: máximo amarillo",IF(AND(ISNUMBER(AC123),N(AC123)&lt;50,N(O123)&gt;=2),"Observación &lt; 50: máximo amarillo",IF(AND(N123&lt;&gt;"",N(N123)&lt;Parámetros!$B$15),"κ &lt; 0,60: observación descartada, repetir","")))))</f>
        <v/>
      </c>
    </row>
    <row r="124" customFormat="false" ht="15" hidden="false" customHeight="fals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7" t="str">
        <f aca="false">IF(N(E124)&gt;0,MIN(100,F124/E124*100),"")</f>
        <v/>
      </c>
      <c r="Y124" s="47" t="str">
        <f aca="false">IF(N(G124)&gt;0,MIN(100,H124/G124*100),"")</f>
        <v/>
      </c>
      <c r="Z124" s="47" t="str">
        <f aca="false">IF(N(I124)&gt;0,MIN(100,J124/I124*100),"")</f>
        <v/>
      </c>
      <c r="AA124" s="47" t="str">
        <f aca="false">IF(K124="","",K124/24*100)</f>
        <v/>
      </c>
      <c r="AB124" s="47" t="str">
        <f aca="false">IF(L124="","",L124/3*100)</f>
        <v/>
      </c>
      <c r="AC124" s="47" t="str">
        <f aca="false">IF(OR(M124="",AND(N124&lt;&gt;"",N(N124)&lt;Parámetros!$B$15)),"",MAX(0,MIN(100,(M124-1)/4*100)))</f>
        <v/>
      </c>
      <c r="AD124" s="47" t="str">
        <f aca="false">IF(OR(P124="",N(Q124)=0),"",MAX(0,MIN(100,((Q124/(Q124+Parámetros!$B$16))*P124+(Parámetros!$B$16/(Q124+Parámetros!$B$16))*Parámetros!$B$17-0.1)/0.4*100)))</f>
        <v/>
      </c>
      <c r="AE124" s="47" t="str">
        <f aca="false">IF(N(R124)&gt;0,MIN(100,S124/R124*100),"")</f>
        <v/>
      </c>
      <c r="AF124" s="47" t="str">
        <f aca="false">IF(N(U124)&gt;0,MIN(100,T124/(U124*5)*100),"")</f>
        <v/>
      </c>
      <c r="AG124" s="47" t="str">
        <f aca="false">IF(OR(V124="",N(W124)&lt;10),"",(V124-1)/4*100)</f>
        <v/>
      </c>
      <c r="AH124" s="47" t="str">
        <f aca="false">IF($C124="","",COUNT(X124:AG124))</f>
        <v/>
      </c>
      <c r="AI124" s="47" t="str">
        <f aca="false">IF(OR($C124="",N(AH124)&lt;Parámetros!$B$18),"",(IF(ISNUMBER(X124),X124*Parámetros!$B$2,0)+IF(ISNUMBER(Y124),Y124*Parámetros!$B$3,0)+IF(ISNUMBER(Z124),Z124*Parámetros!$B$4,0)+IF(ISNUMBER(AA124),AA124*Parámetros!$B$5,0)+IF(ISNUMBER(AB124),AB124*Parámetros!$B$6,0)+IF(ISNUMBER(AC124),AC124*Parámetros!$B$7,0)+IF(ISNUMBER(AD124),AD124*Parámetros!$B$8,0)+IF(ISNUMBER(AE124),AE124*Parámetros!$B$9,0)+IF(ISNUMBER(AF124),AF124*Parámetros!$B$10,0)+IF(ISNUMBER(AG124),AG124*Parámetros!$B$11,0))/(IF(ISNUMBER(X124),Parámetros!$B$2,0)+IF(ISNUMBER(Y124),Parámetros!$B$3,0)+IF(ISNUMBER(Z124),Parámetros!$B$4,0)+IF(ISNUMBER(AA124),Parámetros!$B$5,0)+IF(ISNUMBER(AB124),Parámetros!$B$6,0)+IF(ISNUMBER(AC124),Parámetros!$B$7,0)+IF(ISNUMBER(AD124),Parámetros!$B$8,0)+IF(ISNUMBER(AE124),Parámetros!$B$9,0)+IF(ISNUMBER(AF124),Parámetros!$B$10,0)+IF(ISNUMBER(AG124),Parámetros!$B$11,0)))</f>
        <v/>
      </c>
      <c r="AJ124" s="47" t="n">
        <f aca="false">IF(AND(ISNUMBER(Y124),N(Y124)&lt;60),69.9,IF(OR(AND(ISNUMBER(AE124),N(AE124)&lt;80),AND(ISNUMBER(AC124),N(AC124)&lt;50,N(O124)&gt;=2)),84.9,100))</f>
        <v>100</v>
      </c>
      <c r="AK124" s="47" t="str">
        <f aca="false">IF(AI124="","",MIN(AI124,AJ124))</f>
        <v/>
      </c>
      <c r="AL124" s="47" t="str">
        <f aca="false">IF($C124="","",IF(AK124="","Gris — menos de 3 fuentes",IF(AND(AK124&lt;Parámetros!$B$14,N124&lt;&gt;"",N(N124)&lt;Parámetros!$B$15,N(Y124)&gt;=60),"Gris — repetir observación",IF(AK124&gt;=Parámetros!$B$13,"Verde",IF(AK124&gt;=Parámetros!$B$14,"Amarillo","Rojo")))))</f>
        <v/>
      </c>
      <c r="AM124" s="47" t="str">
        <f aca="false">IF($C124="","",IF(AND(ISNUMBER(Y124),N(Y124)&lt;60),"Ejecución &lt; 60 %: rojo automático",IF(AND(ISNUMBER(AE124),N(AE124)&lt;80),"PIAR &lt; 80 %: máximo amarillo",IF(AND(ISNUMBER(AC124),N(AC124)&lt;50,N(O124)&gt;=2),"Observación &lt; 50: máximo amarillo",IF(AND(N124&lt;&gt;"",N(N124)&lt;Parámetros!$B$15),"κ &lt; 0,60: observación descartada, repetir","")))))</f>
        <v/>
      </c>
    </row>
    <row r="125" customFormat="false" ht="15" hidden="false" customHeight="fals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7" t="str">
        <f aca="false">IF(N(E125)&gt;0,MIN(100,F125/E125*100),"")</f>
        <v/>
      </c>
      <c r="Y125" s="47" t="str">
        <f aca="false">IF(N(G125)&gt;0,MIN(100,H125/G125*100),"")</f>
        <v/>
      </c>
      <c r="Z125" s="47" t="str">
        <f aca="false">IF(N(I125)&gt;0,MIN(100,J125/I125*100),"")</f>
        <v/>
      </c>
      <c r="AA125" s="47" t="str">
        <f aca="false">IF(K125="","",K125/24*100)</f>
        <v/>
      </c>
      <c r="AB125" s="47" t="str">
        <f aca="false">IF(L125="","",L125/3*100)</f>
        <v/>
      </c>
      <c r="AC125" s="47" t="str">
        <f aca="false">IF(OR(M125="",AND(N125&lt;&gt;"",N(N125)&lt;Parámetros!$B$15)),"",MAX(0,MIN(100,(M125-1)/4*100)))</f>
        <v/>
      </c>
      <c r="AD125" s="47" t="str">
        <f aca="false">IF(OR(P125="",N(Q125)=0),"",MAX(0,MIN(100,((Q125/(Q125+Parámetros!$B$16))*P125+(Parámetros!$B$16/(Q125+Parámetros!$B$16))*Parámetros!$B$17-0.1)/0.4*100)))</f>
        <v/>
      </c>
      <c r="AE125" s="47" t="str">
        <f aca="false">IF(N(R125)&gt;0,MIN(100,S125/R125*100),"")</f>
        <v/>
      </c>
      <c r="AF125" s="47" t="str">
        <f aca="false">IF(N(U125)&gt;0,MIN(100,T125/(U125*5)*100),"")</f>
        <v/>
      </c>
      <c r="AG125" s="47" t="str">
        <f aca="false">IF(OR(V125="",N(W125)&lt;10),"",(V125-1)/4*100)</f>
        <v/>
      </c>
      <c r="AH125" s="47" t="str">
        <f aca="false">IF($C125="","",COUNT(X125:AG125))</f>
        <v/>
      </c>
      <c r="AI125" s="47" t="str">
        <f aca="false">IF(OR($C125="",N(AH125)&lt;Parámetros!$B$18),"",(IF(ISNUMBER(X125),X125*Parámetros!$B$2,0)+IF(ISNUMBER(Y125),Y125*Parámetros!$B$3,0)+IF(ISNUMBER(Z125),Z125*Parámetros!$B$4,0)+IF(ISNUMBER(AA125),AA125*Parámetros!$B$5,0)+IF(ISNUMBER(AB125),AB125*Parámetros!$B$6,0)+IF(ISNUMBER(AC125),AC125*Parámetros!$B$7,0)+IF(ISNUMBER(AD125),AD125*Parámetros!$B$8,0)+IF(ISNUMBER(AE125),AE125*Parámetros!$B$9,0)+IF(ISNUMBER(AF125),AF125*Parámetros!$B$10,0)+IF(ISNUMBER(AG125),AG125*Parámetros!$B$11,0))/(IF(ISNUMBER(X125),Parámetros!$B$2,0)+IF(ISNUMBER(Y125),Parámetros!$B$3,0)+IF(ISNUMBER(Z125),Parámetros!$B$4,0)+IF(ISNUMBER(AA125),Parámetros!$B$5,0)+IF(ISNUMBER(AB125),Parámetros!$B$6,0)+IF(ISNUMBER(AC125),Parámetros!$B$7,0)+IF(ISNUMBER(AD125),Parámetros!$B$8,0)+IF(ISNUMBER(AE125),Parámetros!$B$9,0)+IF(ISNUMBER(AF125),Parámetros!$B$10,0)+IF(ISNUMBER(AG125),Parámetros!$B$11,0)))</f>
        <v/>
      </c>
      <c r="AJ125" s="47" t="n">
        <f aca="false">IF(AND(ISNUMBER(Y125),N(Y125)&lt;60),69.9,IF(OR(AND(ISNUMBER(AE125),N(AE125)&lt;80),AND(ISNUMBER(AC125),N(AC125)&lt;50,N(O125)&gt;=2)),84.9,100))</f>
        <v>100</v>
      </c>
      <c r="AK125" s="47" t="str">
        <f aca="false">IF(AI125="","",MIN(AI125,AJ125))</f>
        <v/>
      </c>
      <c r="AL125" s="47" t="str">
        <f aca="false">IF($C125="","",IF(AK125="","Gris — menos de 3 fuentes",IF(AND(AK125&lt;Parámetros!$B$14,N125&lt;&gt;"",N(N125)&lt;Parámetros!$B$15,N(Y125)&gt;=60),"Gris — repetir observación",IF(AK125&gt;=Parámetros!$B$13,"Verde",IF(AK125&gt;=Parámetros!$B$14,"Amarillo","Rojo")))))</f>
        <v/>
      </c>
      <c r="AM125" s="47" t="str">
        <f aca="false">IF($C125="","",IF(AND(ISNUMBER(Y125),N(Y125)&lt;60),"Ejecución &lt; 60 %: rojo automático",IF(AND(ISNUMBER(AE125),N(AE125)&lt;80),"PIAR &lt; 80 %: máximo amarillo",IF(AND(ISNUMBER(AC125),N(AC125)&lt;50,N(O125)&gt;=2),"Observación &lt; 50: máximo amarillo",IF(AND(N125&lt;&gt;"",N(N125)&lt;Parámetros!$B$15),"κ &lt; 0,60: observación descartada, repetir","")))))</f>
        <v/>
      </c>
    </row>
    <row r="126" customFormat="false" ht="15" hidden="false" customHeight="fals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7" t="str">
        <f aca="false">IF(N(E126)&gt;0,MIN(100,F126/E126*100),"")</f>
        <v/>
      </c>
      <c r="Y126" s="47" t="str">
        <f aca="false">IF(N(G126)&gt;0,MIN(100,H126/G126*100),"")</f>
        <v/>
      </c>
      <c r="Z126" s="47" t="str">
        <f aca="false">IF(N(I126)&gt;0,MIN(100,J126/I126*100),"")</f>
        <v/>
      </c>
      <c r="AA126" s="47" t="str">
        <f aca="false">IF(K126="","",K126/24*100)</f>
        <v/>
      </c>
      <c r="AB126" s="47" t="str">
        <f aca="false">IF(L126="","",L126/3*100)</f>
        <v/>
      </c>
      <c r="AC126" s="47" t="str">
        <f aca="false">IF(OR(M126="",AND(N126&lt;&gt;"",N(N126)&lt;Parámetros!$B$15)),"",MAX(0,MIN(100,(M126-1)/4*100)))</f>
        <v/>
      </c>
      <c r="AD126" s="47" t="str">
        <f aca="false">IF(OR(P126="",N(Q126)=0),"",MAX(0,MIN(100,((Q126/(Q126+Parámetros!$B$16))*P126+(Parámetros!$B$16/(Q126+Parámetros!$B$16))*Parámetros!$B$17-0.1)/0.4*100)))</f>
        <v/>
      </c>
      <c r="AE126" s="47" t="str">
        <f aca="false">IF(N(R126)&gt;0,MIN(100,S126/R126*100),"")</f>
        <v/>
      </c>
      <c r="AF126" s="47" t="str">
        <f aca="false">IF(N(U126)&gt;0,MIN(100,T126/(U126*5)*100),"")</f>
        <v/>
      </c>
      <c r="AG126" s="47" t="str">
        <f aca="false">IF(OR(V126="",N(W126)&lt;10),"",(V126-1)/4*100)</f>
        <v/>
      </c>
      <c r="AH126" s="47" t="str">
        <f aca="false">IF($C126="","",COUNT(X126:AG126))</f>
        <v/>
      </c>
      <c r="AI126" s="47" t="str">
        <f aca="false">IF(OR($C126="",N(AH126)&lt;Parámetros!$B$18),"",(IF(ISNUMBER(X126),X126*Parámetros!$B$2,0)+IF(ISNUMBER(Y126),Y126*Parámetros!$B$3,0)+IF(ISNUMBER(Z126),Z126*Parámetros!$B$4,0)+IF(ISNUMBER(AA126),AA126*Parámetros!$B$5,0)+IF(ISNUMBER(AB126),AB126*Parámetros!$B$6,0)+IF(ISNUMBER(AC126),AC126*Parámetros!$B$7,0)+IF(ISNUMBER(AD126),AD126*Parámetros!$B$8,0)+IF(ISNUMBER(AE126),AE126*Parámetros!$B$9,0)+IF(ISNUMBER(AF126),AF126*Parámetros!$B$10,0)+IF(ISNUMBER(AG126),AG126*Parámetros!$B$11,0))/(IF(ISNUMBER(X126),Parámetros!$B$2,0)+IF(ISNUMBER(Y126),Parámetros!$B$3,0)+IF(ISNUMBER(Z126),Parámetros!$B$4,0)+IF(ISNUMBER(AA126),Parámetros!$B$5,0)+IF(ISNUMBER(AB126),Parámetros!$B$6,0)+IF(ISNUMBER(AC126),Parámetros!$B$7,0)+IF(ISNUMBER(AD126),Parámetros!$B$8,0)+IF(ISNUMBER(AE126),Parámetros!$B$9,0)+IF(ISNUMBER(AF126),Parámetros!$B$10,0)+IF(ISNUMBER(AG126),Parámetros!$B$11,0)))</f>
        <v/>
      </c>
      <c r="AJ126" s="47" t="n">
        <f aca="false">IF(AND(ISNUMBER(Y126),N(Y126)&lt;60),69.9,IF(OR(AND(ISNUMBER(AE126),N(AE126)&lt;80),AND(ISNUMBER(AC126),N(AC126)&lt;50,N(O126)&gt;=2)),84.9,100))</f>
        <v>100</v>
      </c>
      <c r="AK126" s="47" t="str">
        <f aca="false">IF(AI126="","",MIN(AI126,AJ126))</f>
        <v/>
      </c>
      <c r="AL126" s="47" t="str">
        <f aca="false">IF($C126="","",IF(AK126="","Gris — menos de 3 fuentes",IF(AND(AK126&lt;Parámetros!$B$14,N126&lt;&gt;"",N(N126)&lt;Parámetros!$B$15,N(Y126)&gt;=60),"Gris — repetir observación",IF(AK126&gt;=Parámetros!$B$13,"Verde",IF(AK126&gt;=Parámetros!$B$14,"Amarillo","Rojo")))))</f>
        <v/>
      </c>
      <c r="AM126" s="47" t="str">
        <f aca="false">IF($C126="","",IF(AND(ISNUMBER(Y126),N(Y126)&lt;60),"Ejecución &lt; 60 %: rojo automático",IF(AND(ISNUMBER(AE126),N(AE126)&lt;80),"PIAR &lt; 80 %: máximo amarillo",IF(AND(ISNUMBER(AC126),N(AC126)&lt;50,N(O126)&gt;=2),"Observación &lt; 50: máximo amarillo",IF(AND(N126&lt;&gt;"",N(N126)&lt;Parámetros!$B$15),"κ &lt; 0,60: observación descartada, repetir","")))))</f>
        <v/>
      </c>
    </row>
    <row r="127" customFormat="false" ht="15" hidden="false" customHeight="fals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7" t="str">
        <f aca="false">IF(N(E127)&gt;0,MIN(100,F127/E127*100),"")</f>
        <v/>
      </c>
      <c r="Y127" s="47" t="str">
        <f aca="false">IF(N(G127)&gt;0,MIN(100,H127/G127*100),"")</f>
        <v/>
      </c>
      <c r="Z127" s="47" t="str">
        <f aca="false">IF(N(I127)&gt;0,MIN(100,J127/I127*100),"")</f>
        <v/>
      </c>
      <c r="AA127" s="47" t="str">
        <f aca="false">IF(K127="","",K127/24*100)</f>
        <v/>
      </c>
      <c r="AB127" s="47" t="str">
        <f aca="false">IF(L127="","",L127/3*100)</f>
        <v/>
      </c>
      <c r="AC127" s="47" t="str">
        <f aca="false">IF(OR(M127="",AND(N127&lt;&gt;"",N(N127)&lt;Parámetros!$B$15)),"",MAX(0,MIN(100,(M127-1)/4*100)))</f>
        <v/>
      </c>
      <c r="AD127" s="47" t="str">
        <f aca="false">IF(OR(P127="",N(Q127)=0),"",MAX(0,MIN(100,((Q127/(Q127+Parámetros!$B$16))*P127+(Parámetros!$B$16/(Q127+Parámetros!$B$16))*Parámetros!$B$17-0.1)/0.4*100)))</f>
        <v/>
      </c>
      <c r="AE127" s="47" t="str">
        <f aca="false">IF(N(R127)&gt;0,MIN(100,S127/R127*100),"")</f>
        <v/>
      </c>
      <c r="AF127" s="47" t="str">
        <f aca="false">IF(N(U127)&gt;0,MIN(100,T127/(U127*5)*100),"")</f>
        <v/>
      </c>
      <c r="AG127" s="47" t="str">
        <f aca="false">IF(OR(V127="",N(W127)&lt;10),"",(V127-1)/4*100)</f>
        <v/>
      </c>
      <c r="AH127" s="47" t="str">
        <f aca="false">IF($C127="","",COUNT(X127:AG127))</f>
        <v/>
      </c>
      <c r="AI127" s="47" t="str">
        <f aca="false">IF(OR($C127="",N(AH127)&lt;Parámetros!$B$18),"",(IF(ISNUMBER(X127),X127*Parámetros!$B$2,0)+IF(ISNUMBER(Y127),Y127*Parámetros!$B$3,0)+IF(ISNUMBER(Z127),Z127*Parámetros!$B$4,0)+IF(ISNUMBER(AA127),AA127*Parámetros!$B$5,0)+IF(ISNUMBER(AB127),AB127*Parámetros!$B$6,0)+IF(ISNUMBER(AC127),AC127*Parámetros!$B$7,0)+IF(ISNUMBER(AD127),AD127*Parámetros!$B$8,0)+IF(ISNUMBER(AE127),AE127*Parámetros!$B$9,0)+IF(ISNUMBER(AF127),AF127*Parámetros!$B$10,0)+IF(ISNUMBER(AG127),AG127*Parámetros!$B$11,0))/(IF(ISNUMBER(X127),Parámetros!$B$2,0)+IF(ISNUMBER(Y127),Parámetros!$B$3,0)+IF(ISNUMBER(Z127),Parámetros!$B$4,0)+IF(ISNUMBER(AA127),Parámetros!$B$5,0)+IF(ISNUMBER(AB127),Parámetros!$B$6,0)+IF(ISNUMBER(AC127),Parámetros!$B$7,0)+IF(ISNUMBER(AD127),Parámetros!$B$8,0)+IF(ISNUMBER(AE127),Parámetros!$B$9,0)+IF(ISNUMBER(AF127),Parámetros!$B$10,0)+IF(ISNUMBER(AG127),Parámetros!$B$11,0)))</f>
        <v/>
      </c>
      <c r="AJ127" s="47" t="n">
        <f aca="false">IF(AND(ISNUMBER(Y127),N(Y127)&lt;60),69.9,IF(OR(AND(ISNUMBER(AE127),N(AE127)&lt;80),AND(ISNUMBER(AC127),N(AC127)&lt;50,N(O127)&gt;=2)),84.9,100))</f>
        <v>100</v>
      </c>
      <c r="AK127" s="47" t="str">
        <f aca="false">IF(AI127="","",MIN(AI127,AJ127))</f>
        <v/>
      </c>
      <c r="AL127" s="47" t="str">
        <f aca="false">IF($C127="","",IF(AK127="","Gris — menos de 3 fuentes",IF(AND(AK127&lt;Parámetros!$B$14,N127&lt;&gt;"",N(N127)&lt;Parámetros!$B$15,N(Y127)&gt;=60),"Gris — repetir observación",IF(AK127&gt;=Parámetros!$B$13,"Verde",IF(AK127&gt;=Parámetros!$B$14,"Amarillo","Rojo")))))</f>
        <v/>
      </c>
      <c r="AM127" s="47" t="str">
        <f aca="false">IF($C127="","",IF(AND(ISNUMBER(Y127),N(Y127)&lt;60),"Ejecución &lt; 60 %: rojo automático",IF(AND(ISNUMBER(AE127),N(AE127)&lt;80),"PIAR &lt; 80 %: máximo amarillo",IF(AND(ISNUMBER(AC127),N(AC127)&lt;50,N(O127)&gt;=2),"Observación &lt; 50: máximo amarillo",IF(AND(N127&lt;&gt;"",N(N127)&lt;Parámetros!$B$15),"κ &lt; 0,60: observación descartada, repetir","")))))</f>
        <v/>
      </c>
    </row>
    <row r="128" customFormat="false" ht="15" hidden="false" customHeight="fals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7" t="str">
        <f aca="false">IF(N(E128)&gt;0,MIN(100,F128/E128*100),"")</f>
        <v/>
      </c>
      <c r="Y128" s="47" t="str">
        <f aca="false">IF(N(G128)&gt;0,MIN(100,H128/G128*100),"")</f>
        <v/>
      </c>
      <c r="Z128" s="47" t="str">
        <f aca="false">IF(N(I128)&gt;0,MIN(100,J128/I128*100),"")</f>
        <v/>
      </c>
      <c r="AA128" s="47" t="str">
        <f aca="false">IF(K128="","",K128/24*100)</f>
        <v/>
      </c>
      <c r="AB128" s="47" t="str">
        <f aca="false">IF(L128="","",L128/3*100)</f>
        <v/>
      </c>
      <c r="AC128" s="47" t="str">
        <f aca="false">IF(OR(M128="",AND(N128&lt;&gt;"",N(N128)&lt;Parámetros!$B$15)),"",MAX(0,MIN(100,(M128-1)/4*100)))</f>
        <v/>
      </c>
      <c r="AD128" s="47" t="str">
        <f aca="false">IF(OR(P128="",N(Q128)=0),"",MAX(0,MIN(100,((Q128/(Q128+Parámetros!$B$16))*P128+(Parámetros!$B$16/(Q128+Parámetros!$B$16))*Parámetros!$B$17-0.1)/0.4*100)))</f>
        <v/>
      </c>
      <c r="AE128" s="47" t="str">
        <f aca="false">IF(N(R128)&gt;0,MIN(100,S128/R128*100),"")</f>
        <v/>
      </c>
      <c r="AF128" s="47" t="str">
        <f aca="false">IF(N(U128)&gt;0,MIN(100,T128/(U128*5)*100),"")</f>
        <v/>
      </c>
      <c r="AG128" s="47" t="str">
        <f aca="false">IF(OR(V128="",N(W128)&lt;10),"",(V128-1)/4*100)</f>
        <v/>
      </c>
      <c r="AH128" s="47" t="str">
        <f aca="false">IF($C128="","",COUNT(X128:AG128))</f>
        <v/>
      </c>
      <c r="AI128" s="47" t="str">
        <f aca="false">IF(OR($C128="",N(AH128)&lt;Parámetros!$B$18),"",(IF(ISNUMBER(X128),X128*Parámetros!$B$2,0)+IF(ISNUMBER(Y128),Y128*Parámetros!$B$3,0)+IF(ISNUMBER(Z128),Z128*Parámetros!$B$4,0)+IF(ISNUMBER(AA128),AA128*Parámetros!$B$5,0)+IF(ISNUMBER(AB128),AB128*Parámetros!$B$6,0)+IF(ISNUMBER(AC128),AC128*Parámetros!$B$7,0)+IF(ISNUMBER(AD128),AD128*Parámetros!$B$8,0)+IF(ISNUMBER(AE128),AE128*Parámetros!$B$9,0)+IF(ISNUMBER(AF128),AF128*Parámetros!$B$10,0)+IF(ISNUMBER(AG128),AG128*Parámetros!$B$11,0))/(IF(ISNUMBER(X128),Parámetros!$B$2,0)+IF(ISNUMBER(Y128),Parámetros!$B$3,0)+IF(ISNUMBER(Z128),Parámetros!$B$4,0)+IF(ISNUMBER(AA128),Parámetros!$B$5,0)+IF(ISNUMBER(AB128),Parámetros!$B$6,0)+IF(ISNUMBER(AC128),Parámetros!$B$7,0)+IF(ISNUMBER(AD128),Parámetros!$B$8,0)+IF(ISNUMBER(AE128),Parámetros!$B$9,0)+IF(ISNUMBER(AF128),Parámetros!$B$10,0)+IF(ISNUMBER(AG128),Parámetros!$B$11,0)))</f>
        <v/>
      </c>
      <c r="AJ128" s="47" t="n">
        <f aca="false">IF(AND(ISNUMBER(Y128),N(Y128)&lt;60),69.9,IF(OR(AND(ISNUMBER(AE128),N(AE128)&lt;80),AND(ISNUMBER(AC128),N(AC128)&lt;50,N(O128)&gt;=2)),84.9,100))</f>
        <v>100</v>
      </c>
      <c r="AK128" s="47" t="str">
        <f aca="false">IF(AI128="","",MIN(AI128,AJ128))</f>
        <v/>
      </c>
      <c r="AL128" s="47" t="str">
        <f aca="false">IF($C128="","",IF(AK128="","Gris — menos de 3 fuentes",IF(AND(AK128&lt;Parámetros!$B$14,N128&lt;&gt;"",N(N128)&lt;Parámetros!$B$15,N(Y128)&gt;=60),"Gris — repetir observación",IF(AK128&gt;=Parámetros!$B$13,"Verde",IF(AK128&gt;=Parámetros!$B$14,"Amarillo","Rojo")))))</f>
        <v/>
      </c>
      <c r="AM128" s="47" t="str">
        <f aca="false">IF($C128="","",IF(AND(ISNUMBER(Y128),N(Y128)&lt;60),"Ejecución &lt; 60 %: rojo automático",IF(AND(ISNUMBER(AE128),N(AE128)&lt;80),"PIAR &lt; 80 %: máximo amarillo",IF(AND(ISNUMBER(AC128),N(AC128)&lt;50,N(O128)&gt;=2),"Observación &lt; 50: máximo amarillo",IF(AND(N128&lt;&gt;"",N(N128)&lt;Parámetros!$B$15),"κ &lt; 0,60: observación descartada, repetir","")))))</f>
        <v/>
      </c>
    </row>
    <row r="129" customFormat="false" ht="15" hidden="false" customHeight="fals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7" t="str">
        <f aca="false">IF(N(E129)&gt;0,MIN(100,F129/E129*100),"")</f>
        <v/>
      </c>
      <c r="Y129" s="47" t="str">
        <f aca="false">IF(N(G129)&gt;0,MIN(100,H129/G129*100),"")</f>
        <v/>
      </c>
      <c r="Z129" s="47" t="str">
        <f aca="false">IF(N(I129)&gt;0,MIN(100,J129/I129*100),"")</f>
        <v/>
      </c>
      <c r="AA129" s="47" t="str">
        <f aca="false">IF(K129="","",K129/24*100)</f>
        <v/>
      </c>
      <c r="AB129" s="47" t="str">
        <f aca="false">IF(L129="","",L129/3*100)</f>
        <v/>
      </c>
      <c r="AC129" s="47" t="str">
        <f aca="false">IF(OR(M129="",AND(N129&lt;&gt;"",N(N129)&lt;Parámetros!$B$15)),"",MAX(0,MIN(100,(M129-1)/4*100)))</f>
        <v/>
      </c>
      <c r="AD129" s="47" t="str">
        <f aca="false">IF(OR(P129="",N(Q129)=0),"",MAX(0,MIN(100,((Q129/(Q129+Parámetros!$B$16))*P129+(Parámetros!$B$16/(Q129+Parámetros!$B$16))*Parámetros!$B$17-0.1)/0.4*100)))</f>
        <v/>
      </c>
      <c r="AE129" s="47" t="str">
        <f aca="false">IF(N(R129)&gt;0,MIN(100,S129/R129*100),"")</f>
        <v/>
      </c>
      <c r="AF129" s="47" t="str">
        <f aca="false">IF(N(U129)&gt;0,MIN(100,T129/(U129*5)*100),"")</f>
        <v/>
      </c>
      <c r="AG129" s="47" t="str">
        <f aca="false">IF(OR(V129="",N(W129)&lt;10),"",(V129-1)/4*100)</f>
        <v/>
      </c>
      <c r="AH129" s="47" t="str">
        <f aca="false">IF($C129="","",COUNT(X129:AG129))</f>
        <v/>
      </c>
      <c r="AI129" s="47" t="str">
        <f aca="false">IF(OR($C129="",N(AH129)&lt;Parámetros!$B$18),"",(IF(ISNUMBER(X129),X129*Parámetros!$B$2,0)+IF(ISNUMBER(Y129),Y129*Parámetros!$B$3,0)+IF(ISNUMBER(Z129),Z129*Parámetros!$B$4,0)+IF(ISNUMBER(AA129),AA129*Parámetros!$B$5,0)+IF(ISNUMBER(AB129),AB129*Parámetros!$B$6,0)+IF(ISNUMBER(AC129),AC129*Parámetros!$B$7,0)+IF(ISNUMBER(AD129),AD129*Parámetros!$B$8,0)+IF(ISNUMBER(AE129),AE129*Parámetros!$B$9,0)+IF(ISNUMBER(AF129),AF129*Parámetros!$B$10,0)+IF(ISNUMBER(AG129),AG129*Parámetros!$B$11,0))/(IF(ISNUMBER(X129),Parámetros!$B$2,0)+IF(ISNUMBER(Y129),Parámetros!$B$3,0)+IF(ISNUMBER(Z129),Parámetros!$B$4,0)+IF(ISNUMBER(AA129),Parámetros!$B$5,0)+IF(ISNUMBER(AB129),Parámetros!$B$6,0)+IF(ISNUMBER(AC129),Parámetros!$B$7,0)+IF(ISNUMBER(AD129),Parámetros!$B$8,0)+IF(ISNUMBER(AE129),Parámetros!$B$9,0)+IF(ISNUMBER(AF129),Parámetros!$B$10,0)+IF(ISNUMBER(AG129),Parámetros!$B$11,0)))</f>
        <v/>
      </c>
      <c r="AJ129" s="47" t="n">
        <f aca="false">IF(AND(ISNUMBER(Y129),N(Y129)&lt;60),69.9,IF(OR(AND(ISNUMBER(AE129),N(AE129)&lt;80),AND(ISNUMBER(AC129),N(AC129)&lt;50,N(O129)&gt;=2)),84.9,100))</f>
        <v>100</v>
      </c>
      <c r="AK129" s="47" t="str">
        <f aca="false">IF(AI129="","",MIN(AI129,AJ129))</f>
        <v/>
      </c>
      <c r="AL129" s="47" t="str">
        <f aca="false">IF($C129="","",IF(AK129="","Gris — menos de 3 fuentes",IF(AND(AK129&lt;Parámetros!$B$14,N129&lt;&gt;"",N(N129)&lt;Parámetros!$B$15,N(Y129)&gt;=60),"Gris — repetir observación",IF(AK129&gt;=Parámetros!$B$13,"Verde",IF(AK129&gt;=Parámetros!$B$14,"Amarillo","Rojo")))))</f>
        <v/>
      </c>
      <c r="AM129" s="47" t="str">
        <f aca="false">IF($C129="","",IF(AND(ISNUMBER(Y129),N(Y129)&lt;60),"Ejecución &lt; 60 %: rojo automático",IF(AND(ISNUMBER(AE129),N(AE129)&lt;80),"PIAR &lt; 80 %: máximo amarillo",IF(AND(ISNUMBER(AC129),N(AC129)&lt;50,N(O129)&gt;=2),"Observación &lt; 50: máximo amarillo",IF(AND(N129&lt;&gt;"",N(N129)&lt;Parámetros!$B$15),"κ &lt; 0,60: observación descartada, repetir","")))))</f>
        <v/>
      </c>
    </row>
    <row r="130" customFormat="false" ht="15" hidden="false" customHeight="fals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7" t="str">
        <f aca="false">IF(N(E130)&gt;0,MIN(100,F130/E130*100),"")</f>
        <v/>
      </c>
      <c r="Y130" s="47" t="str">
        <f aca="false">IF(N(G130)&gt;0,MIN(100,H130/G130*100),"")</f>
        <v/>
      </c>
      <c r="Z130" s="47" t="str">
        <f aca="false">IF(N(I130)&gt;0,MIN(100,J130/I130*100),"")</f>
        <v/>
      </c>
      <c r="AA130" s="47" t="str">
        <f aca="false">IF(K130="","",K130/24*100)</f>
        <v/>
      </c>
      <c r="AB130" s="47" t="str">
        <f aca="false">IF(L130="","",L130/3*100)</f>
        <v/>
      </c>
      <c r="AC130" s="47" t="str">
        <f aca="false">IF(OR(M130="",AND(N130&lt;&gt;"",N(N130)&lt;Parámetros!$B$15)),"",MAX(0,MIN(100,(M130-1)/4*100)))</f>
        <v/>
      </c>
      <c r="AD130" s="47" t="str">
        <f aca="false">IF(OR(P130="",N(Q130)=0),"",MAX(0,MIN(100,((Q130/(Q130+Parámetros!$B$16))*P130+(Parámetros!$B$16/(Q130+Parámetros!$B$16))*Parámetros!$B$17-0.1)/0.4*100)))</f>
        <v/>
      </c>
      <c r="AE130" s="47" t="str">
        <f aca="false">IF(N(R130)&gt;0,MIN(100,S130/R130*100),"")</f>
        <v/>
      </c>
      <c r="AF130" s="47" t="str">
        <f aca="false">IF(N(U130)&gt;0,MIN(100,T130/(U130*5)*100),"")</f>
        <v/>
      </c>
      <c r="AG130" s="47" t="str">
        <f aca="false">IF(OR(V130="",N(W130)&lt;10),"",(V130-1)/4*100)</f>
        <v/>
      </c>
      <c r="AH130" s="47" t="str">
        <f aca="false">IF($C130="","",COUNT(X130:AG130))</f>
        <v/>
      </c>
      <c r="AI130" s="47" t="str">
        <f aca="false">IF(OR($C130="",N(AH130)&lt;Parámetros!$B$18),"",(IF(ISNUMBER(X130),X130*Parámetros!$B$2,0)+IF(ISNUMBER(Y130),Y130*Parámetros!$B$3,0)+IF(ISNUMBER(Z130),Z130*Parámetros!$B$4,0)+IF(ISNUMBER(AA130),AA130*Parámetros!$B$5,0)+IF(ISNUMBER(AB130),AB130*Parámetros!$B$6,0)+IF(ISNUMBER(AC130),AC130*Parámetros!$B$7,0)+IF(ISNUMBER(AD130),AD130*Parámetros!$B$8,0)+IF(ISNUMBER(AE130),AE130*Parámetros!$B$9,0)+IF(ISNUMBER(AF130),AF130*Parámetros!$B$10,0)+IF(ISNUMBER(AG130),AG130*Parámetros!$B$11,0))/(IF(ISNUMBER(X130),Parámetros!$B$2,0)+IF(ISNUMBER(Y130),Parámetros!$B$3,0)+IF(ISNUMBER(Z130),Parámetros!$B$4,0)+IF(ISNUMBER(AA130),Parámetros!$B$5,0)+IF(ISNUMBER(AB130),Parámetros!$B$6,0)+IF(ISNUMBER(AC130),Parámetros!$B$7,0)+IF(ISNUMBER(AD130),Parámetros!$B$8,0)+IF(ISNUMBER(AE130),Parámetros!$B$9,0)+IF(ISNUMBER(AF130),Parámetros!$B$10,0)+IF(ISNUMBER(AG130),Parámetros!$B$11,0)))</f>
        <v/>
      </c>
      <c r="AJ130" s="47" t="n">
        <f aca="false">IF(AND(ISNUMBER(Y130),N(Y130)&lt;60),69.9,IF(OR(AND(ISNUMBER(AE130),N(AE130)&lt;80),AND(ISNUMBER(AC130),N(AC130)&lt;50,N(O130)&gt;=2)),84.9,100))</f>
        <v>100</v>
      </c>
      <c r="AK130" s="47" t="str">
        <f aca="false">IF(AI130="","",MIN(AI130,AJ130))</f>
        <v/>
      </c>
      <c r="AL130" s="47" t="str">
        <f aca="false">IF($C130="","",IF(AK130="","Gris — menos de 3 fuentes",IF(AND(AK130&lt;Parámetros!$B$14,N130&lt;&gt;"",N(N130)&lt;Parámetros!$B$15,N(Y130)&gt;=60),"Gris — repetir observación",IF(AK130&gt;=Parámetros!$B$13,"Verde",IF(AK130&gt;=Parámetros!$B$14,"Amarillo","Rojo")))))</f>
        <v/>
      </c>
      <c r="AM130" s="47" t="str">
        <f aca="false">IF($C130="","",IF(AND(ISNUMBER(Y130),N(Y130)&lt;60),"Ejecución &lt; 60 %: rojo automático",IF(AND(ISNUMBER(AE130),N(AE130)&lt;80),"PIAR &lt; 80 %: máximo amarillo",IF(AND(ISNUMBER(AC130),N(AC130)&lt;50,N(O130)&gt;=2),"Observación &lt; 50: máximo amarillo",IF(AND(N130&lt;&gt;"",N(N130)&lt;Parámetros!$B$15),"κ &lt; 0,60: observación descartada, repetir","")))))</f>
        <v/>
      </c>
    </row>
    <row r="131" customFormat="false" ht="15" hidden="false" customHeight="fals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7" t="str">
        <f aca="false">IF(N(E131)&gt;0,MIN(100,F131/E131*100),"")</f>
        <v/>
      </c>
      <c r="Y131" s="47" t="str">
        <f aca="false">IF(N(G131)&gt;0,MIN(100,H131/G131*100),"")</f>
        <v/>
      </c>
      <c r="Z131" s="47" t="str">
        <f aca="false">IF(N(I131)&gt;0,MIN(100,J131/I131*100),"")</f>
        <v/>
      </c>
      <c r="AA131" s="47" t="str">
        <f aca="false">IF(K131="","",K131/24*100)</f>
        <v/>
      </c>
      <c r="AB131" s="47" t="str">
        <f aca="false">IF(L131="","",L131/3*100)</f>
        <v/>
      </c>
      <c r="AC131" s="47" t="str">
        <f aca="false">IF(OR(M131="",AND(N131&lt;&gt;"",N(N131)&lt;Parámetros!$B$15)),"",MAX(0,MIN(100,(M131-1)/4*100)))</f>
        <v/>
      </c>
      <c r="AD131" s="47" t="str">
        <f aca="false">IF(OR(P131="",N(Q131)=0),"",MAX(0,MIN(100,((Q131/(Q131+Parámetros!$B$16))*P131+(Parámetros!$B$16/(Q131+Parámetros!$B$16))*Parámetros!$B$17-0.1)/0.4*100)))</f>
        <v/>
      </c>
      <c r="AE131" s="47" t="str">
        <f aca="false">IF(N(R131)&gt;0,MIN(100,S131/R131*100),"")</f>
        <v/>
      </c>
      <c r="AF131" s="47" t="str">
        <f aca="false">IF(N(U131)&gt;0,MIN(100,T131/(U131*5)*100),"")</f>
        <v/>
      </c>
      <c r="AG131" s="47" t="str">
        <f aca="false">IF(OR(V131="",N(W131)&lt;10),"",(V131-1)/4*100)</f>
        <v/>
      </c>
      <c r="AH131" s="47" t="str">
        <f aca="false">IF($C131="","",COUNT(X131:AG131))</f>
        <v/>
      </c>
      <c r="AI131" s="47" t="str">
        <f aca="false">IF(OR($C131="",N(AH131)&lt;Parámetros!$B$18),"",(IF(ISNUMBER(X131),X131*Parámetros!$B$2,0)+IF(ISNUMBER(Y131),Y131*Parámetros!$B$3,0)+IF(ISNUMBER(Z131),Z131*Parámetros!$B$4,0)+IF(ISNUMBER(AA131),AA131*Parámetros!$B$5,0)+IF(ISNUMBER(AB131),AB131*Parámetros!$B$6,0)+IF(ISNUMBER(AC131),AC131*Parámetros!$B$7,0)+IF(ISNUMBER(AD131),AD131*Parámetros!$B$8,0)+IF(ISNUMBER(AE131),AE131*Parámetros!$B$9,0)+IF(ISNUMBER(AF131),AF131*Parámetros!$B$10,0)+IF(ISNUMBER(AG131),AG131*Parámetros!$B$11,0))/(IF(ISNUMBER(X131),Parámetros!$B$2,0)+IF(ISNUMBER(Y131),Parámetros!$B$3,0)+IF(ISNUMBER(Z131),Parámetros!$B$4,0)+IF(ISNUMBER(AA131),Parámetros!$B$5,0)+IF(ISNUMBER(AB131),Parámetros!$B$6,0)+IF(ISNUMBER(AC131),Parámetros!$B$7,0)+IF(ISNUMBER(AD131),Parámetros!$B$8,0)+IF(ISNUMBER(AE131),Parámetros!$B$9,0)+IF(ISNUMBER(AF131),Parámetros!$B$10,0)+IF(ISNUMBER(AG131),Parámetros!$B$11,0)))</f>
        <v/>
      </c>
      <c r="AJ131" s="47" t="n">
        <f aca="false">IF(AND(ISNUMBER(Y131),N(Y131)&lt;60),69.9,IF(OR(AND(ISNUMBER(AE131),N(AE131)&lt;80),AND(ISNUMBER(AC131),N(AC131)&lt;50,N(O131)&gt;=2)),84.9,100))</f>
        <v>100</v>
      </c>
      <c r="AK131" s="47" t="str">
        <f aca="false">IF(AI131="","",MIN(AI131,AJ131))</f>
        <v/>
      </c>
      <c r="AL131" s="47" t="str">
        <f aca="false">IF($C131="","",IF(AK131="","Gris — menos de 3 fuentes",IF(AND(AK131&lt;Parámetros!$B$14,N131&lt;&gt;"",N(N131)&lt;Parámetros!$B$15,N(Y131)&gt;=60),"Gris — repetir observación",IF(AK131&gt;=Parámetros!$B$13,"Verde",IF(AK131&gt;=Parámetros!$B$14,"Amarillo","Rojo")))))</f>
        <v/>
      </c>
      <c r="AM131" s="47" t="str">
        <f aca="false">IF($C131="","",IF(AND(ISNUMBER(Y131),N(Y131)&lt;60),"Ejecución &lt; 60 %: rojo automático",IF(AND(ISNUMBER(AE131),N(AE131)&lt;80),"PIAR &lt; 80 %: máximo amarillo",IF(AND(ISNUMBER(AC131),N(AC131)&lt;50,N(O131)&gt;=2),"Observación &lt; 50: máximo amarillo",IF(AND(N131&lt;&gt;"",N(N131)&lt;Parámetros!$B$15),"κ &lt; 0,60: observación descartada, repetir","")))))</f>
        <v/>
      </c>
    </row>
    <row r="132" customFormat="false" ht="15" hidden="false" customHeight="fals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7" t="str">
        <f aca="false">IF(N(E132)&gt;0,MIN(100,F132/E132*100),"")</f>
        <v/>
      </c>
      <c r="Y132" s="47" t="str">
        <f aca="false">IF(N(G132)&gt;0,MIN(100,H132/G132*100),"")</f>
        <v/>
      </c>
      <c r="Z132" s="47" t="str">
        <f aca="false">IF(N(I132)&gt;0,MIN(100,J132/I132*100),"")</f>
        <v/>
      </c>
      <c r="AA132" s="47" t="str">
        <f aca="false">IF(K132="","",K132/24*100)</f>
        <v/>
      </c>
      <c r="AB132" s="47" t="str">
        <f aca="false">IF(L132="","",L132/3*100)</f>
        <v/>
      </c>
      <c r="AC132" s="47" t="str">
        <f aca="false">IF(OR(M132="",AND(N132&lt;&gt;"",N(N132)&lt;Parámetros!$B$15)),"",MAX(0,MIN(100,(M132-1)/4*100)))</f>
        <v/>
      </c>
      <c r="AD132" s="47" t="str">
        <f aca="false">IF(OR(P132="",N(Q132)=0),"",MAX(0,MIN(100,((Q132/(Q132+Parámetros!$B$16))*P132+(Parámetros!$B$16/(Q132+Parámetros!$B$16))*Parámetros!$B$17-0.1)/0.4*100)))</f>
        <v/>
      </c>
      <c r="AE132" s="47" t="str">
        <f aca="false">IF(N(R132)&gt;0,MIN(100,S132/R132*100),"")</f>
        <v/>
      </c>
      <c r="AF132" s="47" t="str">
        <f aca="false">IF(N(U132)&gt;0,MIN(100,T132/(U132*5)*100),"")</f>
        <v/>
      </c>
      <c r="AG132" s="47" t="str">
        <f aca="false">IF(OR(V132="",N(W132)&lt;10),"",(V132-1)/4*100)</f>
        <v/>
      </c>
      <c r="AH132" s="47" t="str">
        <f aca="false">IF($C132="","",COUNT(X132:AG132))</f>
        <v/>
      </c>
      <c r="AI132" s="47" t="str">
        <f aca="false">IF(OR($C132="",N(AH132)&lt;Parámetros!$B$18),"",(IF(ISNUMBER(X132),X132*Parámetros!$B$2,0)+IF(ISNUMBER(Y132),Y132*Parámetros!$B$3,0)+IF(ISNUMBER(Z132),Z132*Parámetros!$B$4,0)+IF(ISNUMBER(AA132),AA132*Parámetros!$B$5,0)+IF(ISNUMBER(AB132),AB132*Parámetros!$B$6,0)+IF(ISNUMBER(AC132),AC132*Parámetros!$B$7,0)+IF(ISNUMBER(AD132),AD132*Parámetros!$B$8,0)+IF(ISNUMBER(AE132),AE132*Parámetros!$B$9,0)+IF(ISNUMBER(AF132),AF132*Parámetros!$B$10,0)+IF(ISNUMBER(AG132),AG132*Parámetros!$B$11,0))/(IF(ISNUMBER(X132),Parámetros!$B$2,0)+IF(ISNUMBER(Y132),Parámetros!$B$3,0)+IF(ISNUMBER(Z132),Parámetros!$B$4,0)+IF(ISNUMBER(AA132),Parámetros!$B$5,0)+IF(ISNUMBER(AB132),Parámetros!$B$6,0)+IF(ISNUMBER(AC132),Parámetros!$B$7,0)+IF(ISNUMBER(AD132),Parámetros!$B$8,0)+IF(ISNUMBER(AE132),Parámetros!$B$9,0)+IF(ISNUMBER(AF132),Parámetros!$B$10,0)+IF(ISNUMBER(AG132),Parámetros!$B$11,0)))</f>
        <v/>
      </c>
      <c r="AJ132" s="47" t="n">
        <f aca="false">IF(AND(ISNUMBER(Y132),N(Y132)&lt;60),69.9,IF(OR(AND(ISNUMBER(AE132),N(AE132)&lt;80),AND(ISNUMBER(AC132),N(AC132)&lt;50,N(O132)&gt;=2)),84.9,100))</f>
        <v>100</v>
      </c>
      <c r="AK132" s="47" t="str">
        <f aca="false">IF(AI132="","",MIN(AI132,AJ132))</f>
        <v/>
      </c>
      <c r="AL132" s="47" t="str">
        <f aca="false">IF($C132="","",IF(AK132="","Gris — menos de 3 fuentes",IF(AND(AK132&lt;Parámetros!$B$14,N132&lt;&gt;"",N(N132)&lt;Parámetros!$B$15,N(Y132)&gt;=60),"Gris — repetir observación",IF(AK132&gt;=Parámetros!$B$13,"Verde",IF(AK132&gt;=Parámetros!$B$14,"Amarillo","Rojo")))))</f>
        <v/>
      </c>
      <c r="AM132" s="47" t="str">
        <f aca="false">IF($C132="","",IF(AND(ISNUMBER(Y132),N(Y132)&lt;60),"Ejecución &lt; 60 %: rojo automático",IF(AND(ISNUMBER(AE132),N(AE132)&lt;80),"PIAR &lt; 80 %: máximo amarillo",IF(AND(ISNUMBER(AC132),N(AC132)&lt;50,N(O132)&gt;=2),"Observación &lt; 50: máximo amarillo",IF(AND(N132&lt;&gt;"",N(N132)&lt;Parámetros!$B$15),"κ &lt; 0,60: observación descartada, repetir","")))))</f>
        <v/>
      </c>
    </row>
    <row r="133" customFormat="false" ht="15" hidden="false" customHeight="fals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7" t="str">
        <f aca="false">IF(N(E133)&gt;0,MIN(100,F133/E133*100),"")</f>
        <v/>
      </c>
      <c r="Y133" s="47" t="str">
        <f aca="false">IF(N(G133)&gt;0,MIN(100,H133/G133*100),"")</f>
        <v/>
      </c>
      <c r="Z133" s="47" t="str">
        <f aca="false">IF(N(I133)&gt;0,MIN(100,J133/I133*100),"")</f>
        <v/>
      </c>
      <c r="AA133" s="47" t="str">
        <f aca="false">IF(K133="","",K133/24*100)</f>
        <v/>
      </c>
      <c r="AB133" s="47" t="str">
        <f aca="false">IF(L133="","",L133/3*100)</f>
        <v/>
      </c>
      <c r="AC133" s="47" t="str">
        <f aca="false">IF(OR(M133="",AND(N133&lt;&gt;"",N(N133)&lt;Parámetros!$B$15)),"",MAX(0,MIN(100,(M133-1)/4*100)))</f>
        <v/>
      </c>
      <c r="AD133" s="47" t="str">
        <f aca="false">IF(OR(P133="",N(Q133)=0),"",MAX(0,MIN(100,((Q133/(Q133+Parámetros!$B$16))*P133+(Parámetros!$B$16/(Q133+Parámetros!$B$16))*Parámetros!$B$17-0.1)/0.4*100)))</f>
        <v/>
      </c>
      <c r="AE133" s="47" t="str">
        <f aca="false">IF(N(R133)&gt;0,MIN(100,S133/R133*100),"")</f>
        <v/>
      </c>
      <c r="AF133" s="47" t="str">
        <f aca="false">IF(N(U133)&gt;0,MIN(100,T133/(U133*5)*100),"")</f>
        <v/>
      </c>
      <c r="AG133" s="47" t="str">
        <f aca="false">IF(OR(V133="",N(W133)&lt;10),"",(V133-1)/4*100)</f>
        <v/>
      </c>
      <c r="AH133" s="47" t="str">
        <f aca="false">IF($C133="","",COUNT(X133:AG133))</f>
        <v/>
      </c>
      <c r="AI133" s="47" t="str">
        <f aca="false">IF(OR($C133="",N(AH133)&lt;Parámetros!$B$18),"",(IF(ISNUMBER(X133),X133*Parámetros!$B$2,0)+IF(ISNUMBER(Y133),Y133*Parámetros!$B$3,0)+IF(ISNUMBER(Z133),Z133*Parámetros!$B$4,0)+IF(ISNUMBER(AA133),AA133*Parámetros!$B$5,0)+IF(ISNUMBER(AB133),AB133*Parámetros!$B$6,0)+IF(ISNUMBER(AC133),AC133*Parámetros!$B$7,0)+IF(ISNUMBER(AD133),AD133*Parámetros!$B$8,0)+IF(ISNUMBER(AE133),AE133*Parámetros!$B$9,0)+IF(ISNUMBER(AF133),AF133*Parámetros!$B$10,0)+IF(ISNUMBER(AG133),AG133*Parámetros!$B$11,0))/(IF(ISNUMBER(X133),Parámetros!$B$2,0)+IF(ISNUMBER(Y133),Parámetros!$B$3,0)+IF(ISNUMBER(Z133),Parámetros!$B$4,0)+IF(ISNUMBER(AA133),Parámetros!$B$5,0)+IF(ISNUMBER(AB133),Parámetros!$B$6,0)+IF(ISNUMBER(AC133),Parámetros!$B$7,0)+IF(ISNUMBER(AD133),Parámetros!$B$8,0)+IF(ISNUMBER(AE133),Parámetros!$B$9,0)+IF(ISNUMBER(AF133),Parámetros!$B$10,0)+IF(ISNUMBER(AG133),Parámetros!$B$11,0)))</f>
        <v/>
      </c>
      <c r="AJ133" s="47" t="n">
        <f aca="false">IF(AND(ISNUMBER(Y133),N(Y133)&lt;60),69.9,IF(OR(AND(ISNUMBER(AE133),N(AE133)&lt;80),AND(ISNUMBER(AC133),N(AC133)&lt;50,N(O133)&gt;=2)),84.9,100))</f>
        <v>100</v>
      </c>
      <c r="AK133" s="47" t="str">
        <f aca="false">IF(AI133="","",MIN(AI133,AJ133))</f>
        <v/>
      </c>
      <c r="AL133" s="47" t="str">
        <f aca="false">IF($C133="","",IF(AK133="","Gris — menos de 3 fuentes",IF(AND(AK133&lt;Parámetros!$B$14,N133&lt;&gt;"",N(N133)&lt;Parámetros!$B$15,N(Y133)&gt;=60),"Gris — repetir observación",IF(AK133&gt;=Parámetros!$B$13,"Verde",IF(AK133&gt;=Parámetros!$B$14,"Amarillo","Rojo")))))</f>
        <v/>
      </c>
      <c r="AM133" s="47" t="str">
        <f aca="false">IF($C133="","",IF(AND(ISNUMBER(Y133),N(Y133)&lt;60),"Ejecución &lt; 60 %: rojo automático",IF(AND(ISNUMBER(AE133),N(AE133)&lt;80),"PIAR &lt; 80 %: máximo amarillo",IF(AND(ISNUMBER(AC133),N(AC133)&lt;50,N(O133)&gt;=2),"Observación &lt; 50: máximo amarillo",IF(AND(N133&lt;&gt;"",N(N133)&lt;Parámetros!$B$15),"κ &lt; 0,60: observación descartada, repetir","")))))</f>
        <v/>
      </c>
    </row>
    <row r="134" customFormat="false" ht="15" hidden="false" customHeight="fals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7" t="str">
        <f aca="false">IF(N(E134)&gt;0,MIN(100,F134/E134*100),"")</f>
        <v/>
      </c>
      <c r="Y134" s="47" t="str">
        <f aca="false">IF(N(G134)&gt;0,MIN(100,H134/G134*100),"")</f>
        <v/>
      </c>
      <c r="Z134" s="47" t="str">
        <f aca="false">IF(N(I134)&gt;0,MIN(100,J134/I134*100),"")</f>
        <v/>
      </c>
      <c r="AA134" s="47" t="str">
        <f aca="false">IF(K134="","",K134/24*100)</f>
        <v/>
      </c>
      <c r="AB134" s="47" t="str">
        <f aca="false">IF(L134="","",L134/3*100)</f>
        <v/>
      </c>
      <c r="AC134" s="47" t="str">
        <f aca="false">IF(OR(M134="",AND(N134&lt;&gt;"",N(N134)&lt;Parámetros!$B$15)),"",MAX(0,MIN(100,(M134-1)/4*100)))</f>
        <v/>
      </c>
      <c r="AD134" s="47" t="str">
        <f aca="false">IF(OR(P134="",N(Q134)=0),"",MAX(0,MIN(100,((Q134/(Q134+Parámetros!$B$16))*P134+(Parámetros!$B$16/(Q134+Parámetros!$B$16))*Parámetros!$B$17-0.1)/0.4*100)))</f>
        <v/>
      </c>
      <c r="AE134" s="47" t="str">
        <f aca="false">IF(N(R134)&gt;0,MIN(100,S134/R134*100),"")</f>
        <v/>
      </c>
      <c r="AF134" s="47" t="str">
        <f aca="false">IF(N(U134)&gt;0,MIN(100,T134/(U134*5)*100),"")</f>
        <v/>
      </c>
      <c r="AG134" s="47" t="str">
        <f aca="false">IF(OR(V134="",N(W134)&lt;10),"",(V134-1)/4*100)</f>
        <v/>
      </c>
      <c r="AH134" s="47" t="str">
        <f aca="false">IF($C134="","",COUNT(X134:AG134))</f>
        <v/>
      </c>
      <c r="AI134" s="47" t="str">
        <f aca="false">IF(OR($C134="",N(AH134)&lt;Parámetros!$B$18),"",(IF(ISNUMBER(X134),X134*Parámetros!$B$2,0)+IF(ISNUMBER(Y134),Y134*Parámetros!$B$3,0)+IF(ISNUMBER(Z134),Z134*Parámetros!$B$4,0)+IF(ISNUMBER(AA134),AA134*Parámetros!$B$5,0)+IF(ISNUMBER(AB134),AB134*Parámetros!$B$6,0)+IF(ISNUMBER(AC134),AC134*Parámetros!$B$7,0)+IF(ISNUMBER(AD134),AD134*Parámetros!$B$8,0)+IF(ISNUMBER(AE134),AE134*Parámetros!$B$9,0)+IF(ISNUMBER(AF134),AF134*Parámetros!$B$10,0)+IF(ISNUMBER(AG134),AG134*Parámetros!$B$11,0))/(IF(ISNUMBER(X134),Parámetros!$B$2,0)+IF(ISNUMBER(Y134),Parámetros!$B$3,0)+IF(ISNUMBER(Z134),Parámetros!$B$4,0)+IF(ISNUMBER(AA134),Parámetros!$B$5,0)+IF(ISNUMBER(AB134),Parámetros!$B$6,0)+IF(ISNUMBER(AC134),Parámetros!$B$7,0)+IF(ISNUMBER(AD134),Parámetros!$B$8,0)+IF(ISNUMBER(AE134),Parámetros!$B$9,0)+IF(ISNUMBER(AF134),Parámetros!$B$10,0)+IF(ISNUMBER(AG134),Parámetros!$B$11,0)))</f>
        <v/>
      </c>
      <c r="AJ134" s="47" t="n">
        <f aca="false">IF(AND(ISNUMBER(Y134),N(Y134)&lt;60),69.9,IF(OR(AND(ISNUMBER(AE134),N(AE134)&lt;80),AND(ISNUMBER(AC134),N(AC134)&lt;50,N(O134)&gt;=2)),84.9,100))</f>
        <v>100</v>
      </c>
      <c r="AK134" s="47" t="str">
        <f aca="false">IF(AI134="","",MIN(AI134,AJ134))</f>
        <v/>
      </c>
      <c r="AL134" s="47" t="str">
        <f aca="false">IF($C134="","",IF(AK134="","Gris — menos de 3 fuentes",IF(AND(AK134&lt;Parámetros!$B$14,N134&lt;&gt;"",N(N134)&lt;Parámetros!$B$15,N(Y134)&gt;=60),"Gris — repetir observación",IF(AK134&gt;=Parámetros!$B$13,"Verde",IF(AK134&gt;=Parámetros!$B$14,"Amarillo","Rojo")))))</f>
        <v/>
      </c>
      <c r="AM134" s="47" t="str">
        <f aca="false">IF($C134="","",IF(AND(ISNUMBER(Y134),N(Y134)&lt;60),"Ejecución &lt; 60 %: rojo automático",IF(AND(ISNUMBER(AE134),N(AE134)&lt;80),"PIAR &lt; 80 %: máximo amarillo",IF(AND(ISNUMBER(AC134),N(AC134)&lt;50,N(O134)&gt;=2),"Observación &lt; 50: máximo amarillo",IF(AND(N134&lt;&gt;"",N(N134)&lt;Parámetros!$B$15),"κ &lt; 0,60: observación descartada, repetir","")))))</f>
        <v/>
      </c>
    </row>
    <row r="135" customFormat="false" ht="15" hidden="false" customHeight="fals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7" t="str">
        <f aca="false">IF(N(E135)&gt;0,MIN(100,F135/E135*100),"")</f>
        <v/>
      </c>
      <c r="Y135" s="47" t="str">
        <f aca="false">IF(N(G135)&gt;0,MIN(100,H135/G135*100),"")</f>
        <v/>
      </c>
      <c r="Z135" s="47" t="str">
        <f aca="false">IF(N(I135)&gt;0,MIN(100,J135/I135*100),"")</f>
        <v/>
      </c>
      <c r="AA135" s="47" t="str">
        <f aca="false">IF(K135="","",K135/24*100)</f>
        <v/>
      </c>
      <c r="AB135" s="47" t="str">
        <f aca="false">IF(L135="","",L135/3*100)</f>
        <v/>
      </c>
      <c r="AC135" s="47" t="str">
        <f aca="false">IF(OR(M135="",AND(N135&lt;&gt;"",N(N135)&lt;Parámetros!$B$15)),"",MAX(0,MIN(100,(M135-1)/4*100)))</f>
        <v/>
      </c>
      <c r="AD135" s="47" t="str">
        <f aca="false">IF(OR(P135="",N(Q135)=0),"",MAX(0,MIN(100,((Q135/(Q135+Parámetros!$B$16))*P135+(Parámetros!$B$16/(Q135+Parámetros!$B$16))*Parámetros!$B$17-0.1)/0.4*100)))</f>
        <v/>
      </c>
      <c r="AE135" s="47" t="str">
        <f aca="false">IF(N(R135)&gt;0,MIN(100,S135/R135*100),"")</f>
        <v/>
      </c>
      <c r="AF135" s="47" t="str">
        <f aca="false">IF(N(U135)&gt;0,MIN(100,T135/(U135*5)*100),"")</f>
        <v/>
      </c>
      <c r="AG135" s="47" t="str">
        <f aca="false">IF(OR(V135="",N(W135)&lt;10),"",(V135-1)/4*100)</f>
        <v/>
      </c>
      <c r="AH135" s="47" t="str">
        <f aca="false">IF($C135="","",COUNT(X135:AG135))</f>
        <v/>
      </c>
      <c r="AI135" s="47" t="str">
        <f aca="false">IF(OR($C135="",N(AH135)&lt;Parámetros!$B$18),"",(IF(ISNUMBER(X135),X135*Parámetros!$B$2,0)+IF(ISNUMBER(Y135),Y135*Parámetros!$B$3,0)+IF(ISNUMBER(Z135),Z135*Parámetros!$B$4,0)+IF(ISNUMBER(AA135),AA135*Parámetros!$B$5,0)+IF(ISNUMBER(AB135),AB135*Parámetros!$B$6,0)+IF(ISNUMBER(AC135),AC135*Parámetros!$B$7,0)+IF(ISNUMBER(AD135),AD135*Parámetros!$B$8,0)+IF(ISNUMBER(AE135),AE135*Parámetros!$B$9,0)+IF(ISNUMBER(AF135),AF135*Parámetros!$B$10,0)+IF(ISNUMBER(AG135),AG135*Parámetros!$B$11,0))/(IF(ISNUMBER(X135),Parámetros!$B$2,0)+IF(ISNUMBER(Y135),Parámetros!$B$3,0)+IF(ISNUMBER(Z135),Parámetros!$B$4,0)+IF(ISNUMBER(AA135),Parámetros!$B$5,0)+IF(ISNUMBER(AB135),Parámetros!$B$6,0)+IF(ISNUMBER(AC135),Parámetros!$B$7,0)+IF(ISNUMBER(AD135),Parámetros!$B$8,0)+IF(ISNUMBER(AE135),Parámetros!$B$9,0)+IF(ISNUMBER(AF135),Parámetros!$B$10,0)+IF(ISNUMBER(AG135),Parámetros!$B$11,0)))</f>
        <v/>
      </c>
      <c r="AJ135" s="47" t="n">
        <f aca="false">IF(AND(ISNUMBER(Y135),N(Y135)&lt;60),69.9,IF(OR(AND(ISNUMBER(AE135),N(AE135)&lt;80),AND(ISNUMBER(AC135),N(AC135)&lt;50,N(O135)&gt;=2)),84.9,100))</f>
        <v>100</v>
      </c>
      <c r="AK135" s="47" t="str">
        <f aca="false">IF(AI135="","",MIN(AI135,AJ135))</f>
        <v/>
      </c>
      <c r="AL135" s="47" t="str">
        <f aca="false">IF($C135="","",IF(AK135="","Gris — menos de 3 fuentes",IF(AND(AK135&lt;Parámetros!$B$14,N135&lt;&gt;"",N(N135)&lt;Parámetros!$B$15,N(Y135)&gt;=60),"Gris — repetir observación",IF(AK135&gt;=Parámetros!$B$13,"Verde",IF(AK135&gt;=Parámetros!$B$14,"Amarillo","Rojo")))))</f>
        <v/>
      </c>
      <c r="AM135" s="47" t="str">
        <f aca="false">IF($C135="","",IF(AND(ISNUMBER(Y135),N(Y135)&lt;60),"Ejecución &lt; 60 %: rojo automático",IF(AND(ISNUMBER(AE135),N(AE135)&lt;80),"PIAR &lt; 80 %: máximo amarillo",IF(AND(ISNUMBER(AC135),N(AC135)&lt;50,N(O135)&gt;=2),"Observación &lt; 50: máximo amarillo",IF(AND(N135&lt;&gt;"",N(N135)&lt;Parámetros!$B$15),"κ &lt; 0,60: observación descartada, repetir","")))))</f>
        <v/>
      </c>
    </row>
    <row r="136" customFormat="false" ht="15" hidden="false" customHeight="fals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7" t="str">
        <f aca="false">IF(N(E136)&gt;0,MIN(100,F136/E136*100),"")</f>
        <v/>
      </c>
      <c r="Y136" s="47" t="str">
        <f aca="false">IF(N(G136)&gt;0,MIN(100,H136/G136*100),"")</f>
        <v/>
      </c>
      <c r="Z136" s="47" t="str">
        <f aca="false">IF(N(I136)&gt;0,MIN(100,J136/I136*100),"")</f>
        <v/>
      </c>
      <c r="AA136" s="47" t="str">
        <f aca="false">IF(K136="","",K136/24*100)</f>
        <v/>
      </c>
      <c r="AB136" s="47" t="str">
        <f aca="false">IF(L136="","",L136/3*100)</f>
        <v/>
      </c>
      <c r="AC136" s="47" t="str">
        <f aca="false">IF(OR(M136="",AND(N136&lt;&gt;"",N(N136)&lt;Parámetros!$B$15)),"",MAX(0,MIN(100,(M136-1)/4*100)))</f>
        <v/>
      </c>
      <c r="AD136" s="47" t="str">
        <f aca="false">IF(OR(P136="",N(Q136)=0),"",MAX(0,MIN(100,((Q136/(Q136+Parámetros!$B$16))*P136+(Parámetros!$B$16/(Q136+Parámetros!$B$16))*Parámetros!$B$17-0.1)/0.4*100)))</f>
        <v/>
      </c>
      <c r="AE136" s="47" t="str">
        <f aca="false">IF(N(R136)&gt;0,MIN(100,S136/R136*100),"")</f>
        <v/>
      </c>
      <c r="AF136" s="47" t="str">
        <f aca="false">IF(N(U136)&gt;0,MIN(100,T136/(U136*5)*100),"")</f>
        <v/>
      </c>
      <c r="AG136" s="47" t="str">
        <f aca="false">IF(OR(V136="",N(W136)&lt;10),"",(V136-1)/4*100)</f>
        <v/>
      </c>
      <c r="AH136" s="47" t="str">
        <f aca="false">IF($C136="","",COUNT(X136:AG136))</f>
        <v/>
      </c>
      <c r="AI136" s="47" t="str">
        <f aca="false">IF(OR($C136="",N(AH136)&lt;Parámetros!$B$18),"",(IF(ISNUMBER(X136),X136*Parámetros!$B$2,0)+IF(ISNUMBER(Y136),Y136*Parámetros!$B$3,0)+IF(ISNUMBER(Z136),Z136*Parámetros!$B$4,0)+IF(ISNUMBER(AA136),AA136*Parámetros!$B$5,0)+IF(ISNUMBER(AB136),AB136*Parámetros!$B$6,0)+IF(ISNUMBER(AC136),AC136*Parámetros!$B$7,0)+IF(ISNUMBER(AD136),AD136*Parámetros!$B$8,0)+IF(ISNUMBER(AE136),AE136*Parámetros!$B$9,0)+IF(ISNUMBER(AF136),AF136*Parámetros!$B$10,0)+IF(ISNUMBER(AG136),AG136*Parámetros!$B$11,0))/(IF(ISNUMBER(X136),Parámetros!$B$2,0)+IF(ISNUMBER(Y136),Parámetros!$B$3,0)+IF(ISNUMBER(Z136),Parámetros!$B$4,0)+IF(ISNUMBER(AA136),Parámetros!$B$5,0)+IF(ISNUMBER(AB136),Parámetros!$B$6,0)+IF(ISNUMBER(AC136),Parámetros!$B$7,0)+IF(ISNUMBER(AD136),Parámetros!$B$8,0)+IF(ISNUMBER(AE136),Parámetros!$B$9,0)+IF(ISNUMBER(AF136),Parámetros!$B$10,0)+IF(ISNUMBER(AG136),Parámetros!$B$11,0)))</f>
        <v/>
      </c>
      <c r="AJ136" s="47" t="n">
        <f aca="false">IF(AND(ISNUMBER(Y136),N(Y136)&lt;60),69.9,IF(OR(AND(ISNUMBER(AE136),N(AE136)&lt;80),AND(ISNUMBER(AC136),N(AC136)&lt;50,N(O136)&gt;=2)),84.9,100))</f>
        <v>100</v>
      </c>
      <c r="AK136" s="47" t="str">
        <f aca="false">IF(AI136="","",MIN(AI136,AJ136))</f>
        <v/>
      </c>
      <c r="AL136" s="47" t="str">
        <f aca="false">IF($C136="","",IF(AK136="","Gris — menos de 3 fuentes",IF(AND(AK136&lt;Parámetros!$B$14,N136&lt;&gt;"",N(N136)&lt;Parámetros!$B$15,N(Y136)&gt;=60),"Gris — repetir observación",IF(AK136&gt;=Parámetros!$B$13,"Verde",IF(AK136&gt;=Parámetros!$B$14,"Amarillo","Rojo")))))</f>
        <v/>
      </c>
      <c r="AM136" s="47" t="str">
        <f aca="false">IF($C136="","",IF(AND(ISNUMBER(Y136),N(Y136)&lt;60),"Ejecución &lt; 60 %: rojo automático",IF(AND(ISNUMBER(AE136),N(AE136)&lt;80),"PIAR &lt; 80 %: máximo amarillo",IF(AND(ISNUMBER(AC136),N(AC136)&lt;50,N(O136)&gt;=2),"Observación &lt; 50: máximo amarillo",IF(AND(N136&lt;&gt;"",N(N136)&lt;Parámetros!$B$15),"κ &lt; 0,60: observación descartada, repetir","")))))</f>
        <v/>
      </c>
    </row>
    <row r="137" customFormat="false" ht="15" hidden="false" customHeight="fals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7" t="str">
        <f aca="false">IF(N(E137)&gt;0,MIN(100,F137/E137*100),"")</f>
        <v/>
      </c>
      <c r="Y137" s="47" t="str">
        <f aca="false">IF(N(G137)&gt;0,MIN(100,H137/G137*100),"")</f>
        <v/>
      </c>
      <c r="Z137" s="47" t="str">
        <f aca="false">IF(N(I137)&gt;0,MIN(100,J137/I137*100),"")</f>
        <v/>
      </c>
      <c r="AA137" s="47" t="str">
        <f aca="false">IF(K137="","",K137/24*100)</f>
        <v/>
      </c>
      <c r="AB137" s="47" t="str">
        <f aca="false">IF(L137="","",L137/3*100)</f>
        <v/>
      </c>
      <c r="AC137" s="47" t="str">
        <f aca="false">IF(OR(M137="",AND(N137&lt;&gt;"",N(N137)&lt;Parámetros!$B$15)),"",MAX(0,MIN(100,(M137-1)/4*100)))</f>
        <v/>
      </c>
      <c r="AD137" s="47" t="str">
        <f aca="false">IF(OR(P137="",N(Q137)=0),"",MAX(0,MIN(100,((Q137/(Q137+Parámetros!$B$16))*P137+(Parámetros!$B$16/(Q137+Parámetros!$B$16))*Parámetros!$B$17-0.1)/0.4*100)))</f>
        <v/>
      </c>
      <c r="AE137" s="47" t="str">
        <f aca="false">IF(N(R137)&gt;0,MIN(100,S137/R137*100),"")</f>
        <v/>
      </c>
      <c r="AF137" s="47" t="str">
        <f aca="false">IF(N(U137)&gt;0,MIN(100,T137/(U137*5)*100),"")</f>
        <v/>
      </c>
      <c r="AG137" s="47" t="str">
        <f aca="false">IF(OR(V137="",N(W137)&lt;10),"",(V137-1)/4*100)</f>
        <v/>
      </c>
      <c r="AH137" s="47" t="str">
        <f aca="false">IF($C137="","",COUNT(X137:AG137))</f>
        <v/>
      </c>
      <c r="AI137" s="47" t="str">
        <f aca="false">IF(OR($C137="",N(AH137)&lt;Parámetros!$B$18),"",(IF(ISNUMBER(X137),X137*Parámetros!$B$2,0)+IF(ISNUMBER(Y137),Y137*Parámetros!$B$3,0)+IF(ISNUMBER(Z137),Z137*Parámetros!$B$4,0)+IF(ISNUMBER(AA137),AA137*Parámetros!$B$5,0)+IF(ISNUMBER(AB137),AB137*Parámetros!$B$6,0)+IF(ISNUMBER(AC137),AC137*Parámetros!$B$7,0)+IF(ISNUMBER(AD137),AD137*Parámetros!$B$8,0)+IF(ISNUMBER(AE137),AE137*Parámetros!$B$9,0)+IF(ISNUMBER(AF137),AF137*Parámetros!$B$10,0)+IF(ISNUMBER(AG137),AG137*Parámetros!$B$11,0))/(IF(ISNUMBER(X137),Parámetros!$B$2,0)+IF(ISNUMBER(Y137),Parámetros!$B$3,0)+IF(ISNUMBER(Z137),Parámetros!$B$4,0)+IF(ISNUMBER(AA137),Parámetros!$B$5,0)+IF(ISNUMBER(AB137),Parámetros!$B$6,0)+IF(ISNUMBER(AC137),Parámetros!$B$7,0)+IF(ISNUMBER(AD137),Parámetros!$B$8,0)+IF(ISNUMBER(AE137),Parámetros!$B$9,0)+IF(ISNUMBER(AF137),Parámetros!$B$10,0)+IF(ISNUMBER(AG137),Parámetros!$B$11,0)))</f>
        <v/>
      </c>
      <c r="AJ137" s="47" t="n">
        <f aca="false">IF(AND(ISNUMBER(Y137),N(Y137)&lt;60),69.9,IF(OR(AND(ISNUMBER(AE137),N(AE137)&lt;80),AND(ISNUMBER(AC137),N(AC137)&lt;50,N(O137)&gt;=2)),84.9,100))</f>
        <v>100</v>
      </c>
      <c r="AK137" s="47" t="str">
        <f aca="false">IF(AI137="","",MIN(AI137,AJ137))</f>
        <v/>
      </c>
      <c r="AL137" s="47" t="str">
        <f aca="false">IF($C137="","",IF(AK137="","Gris — menos de 3 fuentes",IF(AND(AK137&lt;Parámetros!$B$14,N137&lt;&gt;"",N(N137)&lt;Parámetros!$B$15,N(Y137)&gt;=60),"Gris — repetir observación",IF(AK137&gt;=Parámetros!$B$13,"Verde",IF(AK137&gt;=Parámetros!$B$14,"Amarillo","Rojo")))))</f>
        <v/>
      </c>
      <c r="AM137" s="47" t="str">
        <f aca="false">IF($C137="","",IF(AND(ISNUMBER(Y137),N(Y137)&lt;60),"Ejecución &lt; 60 %: rojo automático",IF(AND(ISNUMBER(AE137),N(AE137)&lt;80),"PIAR &lt; 80 %: máximo amarillo",IF(AND(ISNUMBER(AC137),N(AC137)&lt;50,N(O137)&gt;=2),"Observación &lt; 50: máximo amarillo",IF(AND(N137&lt;&gt;"",N(N137)&lt;Parámetros!$B$15),"κ &lt; 0,60: observación descartada, repetir","")))))</f>
        <v/>
      </c>
    </row>
    <row r="138" customFormat="false" ht="15" hidden="false" customHeight="fals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7" t="str">
        <f aca="false">IF(N(E138)&gt;0,MIN(100,F138/E138*100),"")</f>
        <v/>
      </c>
      <c r="Y138" s="47" t="str">
        <f aca="false">IF(N(G138)&gt;0,MIN(100,H138/G138*100),"")</f>
        <v/>
      </c>
      <c r="Z138" s="47" t="str">
        <f aca="false">IF(N(I138)&gt;0,MIN(100,J138/I138*100),"")</f>
        <v/>
      </c>
      <c r="AA138" s="47" t="str">
        <f aca="false">IF(K138="","",K138/24*100)</f>
        <v/>
      </c>
      <c r="AB138" s="47" t="str">
        <f aca="false">IF(L138="","",L138/3*100)</f>
        <v/>
      </c>
      <c r="AC138" s="47" t="str">
        <f aca="false">IF(OR(M138="",AND(N138&lt;&gt;"",N(N138)&lt;Parámetros!$B$15)),"",MAX(0,MIN(100,(M138-1)/4*100)))</f>
        <v/>
      </c>
      <c r="AD138" s="47" t="str">
        <f aca="false">IF(OR(P138="",N(Q138)=0),"",MAX(0,MIN(100,((Q138/(Q138+Parámetros!$B$16))*P138+(Parámetros!$B$16/(Q138+Parámetros!$B$16))*Parámetros!$B$17-0.1)/0.4*100)))</f>
        <v/>
      </c>
      <c r="AE138" s="47" t="str">
        <f aca="false">IF(N(R138)&gt;0,MIN(100,S138/R138*100),"")</f>
        <v/>
      </c>
      <c r="AF138" s="47" t="str">
        <f aca="false">IF(N(U138)&gt;0,MIN(100,T138/(U138*5)*100),"")</f>
        <v/>
      </c>
      <c r="AG138" s="47" t="str">
        <f aca="false">IF(OR(V138="",N(W138)&lt;10),"",(V138-1)/4*100)</f>
        <v/>
      </c>
      <c r="AH138" s="47" t="str">
        <f aca="false">IF($C138="","",COUNT(X138:AG138))</f>
        <v/>
      </c>
      <c r="AI138" s="47" t="str">
        <f aca="false">IF(OR($C138="",N(AH138)&lt;Parámetros!$B$18),"",(IF(ISNUMBER(X138),X138*Parámetros!$B$2,0)+IF(ISNUMBER(Y138),Y138*Parámetros!$B$3,0)+IF(ISNUMBER(Z138),Z138*Parámetros!$B$4,0)+IF(ISNUMBER(AA138),AA138*Parámetros!$B$5,0)+IF(ISNUMBER(AB138),AB138*Parámetros!$B$6,0)+IF(ISNUMBER(AC138),AC138*Parámetros!$B$7,0)+IF(ISNUMBER(AD138),AD138*Parámetros!$B$8,0)+IF(ISNUMBER(AE138),AE138*Parámetros!$B$9,0)+IF(ISNUMBER(AF138),AF138*Parámetros!$B$10,0)+IF(ISNUMBER(AG138),AG138*Parámetros!$B$11,0))/(IF(ISNUMBER(X138),Parámetros!$B$2,0)+IF(ISNUMBER(Y138),Parámetros!$B$3,0)+IF(ISNUMBER(Z138),Parámetros!$B$4,0)+IF(ISNUMBER(AA138),Parámetros!$B$5,0)+IF(ISNUMBER(AB138),Parámetros!$B$6,0)+IF(ISNUMBER(AC138),Parámetros!$B$7,0)+IF(ISNUMBER(AD138),Parámetros!$B$8,0)+IF(ISNUMBER(AE138),Parámetros!$B$9,0)+IF(ISNUMBER(AF138),Parámetros!$B$10,0)+IF(ISNUMBER(AG138),Parámetros!$B$11,0)))</f>
        <v/>
      </c>
      <c r="AJ138" s="47" t="n">
        <f aca="false">IF(AND(ISNUMBER(Y138),N(Y138)&lt;60),69.9,IF(OR(AND(ISNUMBER(AE138),N(AE138)&lt;80),AND(ISNUMBER(AC138),N(AC138)&lt;50,N(O138)&gt;=2)),84.9,100))</f>
        <v>100</v>
      </c>
      <c r="AK138" s="47" t="str">
        <f aca="false">IF(AI138="","",MIN(AI138,AJ138))</f>
        <v/>
      </c>
      <c r="AL138" s="47" t="str">
        <f aca="false">IF($C138="","",IF(AK138="","Gris — menos de 3 fuentes",IF(AND(AK138&lt;Parámetros!$B$14,N138&lt;&gt;"",N(N138)&lt;Parámetros!$B$15,N(Y138)&gt;=60),"Gris — repetir observación",IF(AK138&gt;=Parámetros!$B$13,"Verde",IF(AK138&gt;=Parámetros!$B$14,"Amarillo","Rojo")))))</f>
        <v/>
      </c>
      <c r="AM138" s="47" t="str">
        <f aca="false">IF($C138="","",IF(AND(ISNUMBER(Y138),N(Y138)&lt;60),"Ejecución &lt; 60 %: rojo automático",IF(AND(ISNUMBER(AE138),N(AE138)&lt;80),"PIAR &lt; 80 %: máximo amarillo",IF(AND(ISNUMBER(AC138),N(AC138)&lt;50,N(O138)&gt;=2),"Observación &lt; 50: máximo amarillo",IF(AND(N138&lt;&gt;"",N(N138)&lt;Parámetros!$B$15),"κ &lt; 0,60: observación descartada, repetir","")))))</f>
        <v/>
      </c>
    </row>
    <row r="139" customFormat="false" ht="15" hidden="false" customHeight="fals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7" t="str">
        <f aca="false">IF(N(E139)&gt;0,MIN(100,F139/E139*100),"")</f>
        <v/>
      </c>
      <c r="Y139" s="47" t="str">
        <f aca="false">IF(N(G139)&gt;0,MIN(100,H139/G139*100),"")</f>
        <v/>
      </c>
      <c r="Z139" s="47" t="str">
        <f aca="false">IF(N(I139)&gt;0,MIN(100,J139/I139*100),"")</f>
        <v/>
      </c>
      <c r="AA139" s="47" t="str">
        <f aca="false">IF(K139="","",K139/24*100)</f>
        <v/>
      </c>
      <c r="AB139" s="47" t="str">
        <f aca="false">IF(L139="","",L139/3*100)</f>
        <v/>
      </c>
      <c r="AC139" s="47" t="str">
        <f aca="false">IF(OR(M139="",AND(N139&lt;&gt;"",N(N139)&lt;Parámetros!$B$15)),"",MAX(0,MIN(100,(M139-1)/4*100)))</f>
        <v/>
      </c>
      <c r="AD139" s="47" t="str">
        <f aca="false">IF(OR(P139="",N(Q139)=0),"",MAX(0,MIN(100,((Q139/(Q139+Parámetros!$B$16))*P139+(Parámetros!$B$16/(Q139+Parámetros!$B$16))*Parámetros!$B$17-0.1)/0.4*100)))</f>
        <v/>
      </c>
      <c r="AE139" s="47" t="str">
        <f aca="false">IF(N(R139)&gt;0,MIN(100,S139/R139*100),"")</f>
        <v/>
      </c>
      <c r="AF139" s="47" t="str">
        <f aca="false">IF(N(U139)&gt;0,MIN(100,T139/(U139*5)*100),"")</f>
        <v/>
      </c>
      <c r="AG139" s="47" t="str">
        <f aca="false">IF(OR(V139="",N(W139)&lt;10),"",(V139-1)/4*100)</f>
        <v/>
      </c>
      <c r="AH139" s="47" t="str">
        <f aca="false">IF($C139="","",COUNT(X139:AG139))</f>
        <v/>
      </c>
      <c r="AI139" s="47" t="str">
        <f aca="false">IF(OR($C139="",N(AH139)&lt;Parámetros!$B$18),"",(IF(ISNUMBER(X139),X139*Parámetros!$B$2,0)+IF(ISNUMBER(Y139),Y139*Parámetros!$B$3,0)+IF(ISNUMBER(Z139),Z139*Parámetros!$B$4,0)+IF(ISNUMBER(AA139),AA139*Parámetros!$B$5,0)+IF(ISNUMBER(AB139),AB139*Parámetros!$B$6,0)+IF(ISNUMBER(AC139),AC139*Parámetros!$B$7,0)+IF(ISNUMBER(AD139),AD139*Parámetros!$B$8,0)+IF(ISNUMBER(AE139),AE139*Parámetros!$B$9,0)+IF(ISNUMBER(AF139),AF139*Parámetros!$B$10,0)+IF(ISNUMBER(AG139),AG139*Parámetros!$B$11,0))/(IF(ISNUMBER(X139),Parámetros!$B$2,0)+IF(ISNUMBER(Y139),Parámetros!$B$3,0)+IF(ISNUMBER(Z139),Parámetros!$B$4,0)+IF(ISNUMBER(AA139),Parámetros!$B$5,0)+IF(ISNUMBER(AB139),Parámetros!$B$6,0)+IF(ISNUMBER(AC139),Parámetros!$B$7,0)+IF(ISNUMBER(AD139),Parámetros!$B$8,0)+IF(ISNUMBER(AE139),Parámetros!$B$9,0)+IF(ISNUMBER(AF139),Parámetros!$B$10,0)+IF(ISNUMBER(AG139),Parámetros!$B$11,0)))</f>
        <v/>
      </c>
      <c r="AJ139" s="47" t="n">
        <f aca="false">IF(AND(ISNUMBER(Y139),N(Y139)&lt;60),69.9,IF(OR(AND(ISNUMBER(AE139),N(AE139)&lt;80),AND(ISNUMBER(AC139),N(AC139)&lt;50,N(O139)&gt;=2)),84.9,100))</f>
        <v>100</v>
      </c>
      <c r="AK139" s="47" t="str">
        <f aca="false">IF(AI139="","",MIN(AI139,AJ139))</f>
        <v/>
      </c>
      <c r="AL139" s="47" t="str">
        <f aca="false">IF($C139="","",IF(AK139="","Gris — menos de 3 fuentes",IF(AND(AK139&lt;Parámetros!$B$14,N139&lt;&gt;"",N(N139)&lt;Parámetros!$B$15,N(Y139)&gt;=60),"Gris — repetir observación",IF(AK139&gt;=Parámetros!$B$13,"Verde",IF(AK139&gt;=Parámetros!$B$14,"Amarillo","Rojo")))))</f>
        <v/>
      </c>
      <c r="AM139" s="47" t="str">
        <f aca="false">IF($C139="","",IF(AND(ISNUMBER(Y139),N(Y139)&lt;60),"Ejecución &lt; 60 %: rojo automático",IF(AND(ISNUMBER(AE139),N(AE139)&lt;80),"PIAR &lt; 80 %: máximo amarillo",IF(AND(ISNUMBER(AC139),N(AC139)&lt;50,N(O139)&gt;=2),"Observación &lt; 50: máximo amarillo",IF(AND(N139&lt;&gt;"",N(N139)&lt;Parámetros!$B$15),"κ &lt; 0,60: observación descartada, repetir","")))))</f>
        <v/>
      </c>
    </row>
    <row r="140" customFormat="false" ht="15" hidden="false" customHeight="fals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7" t="str">
        <f aca="false">IF(N(E140)&gt;0,MIN(100,F140/E140*100),"")</f>
        <v/>
      </c>
      <c r="Y140" s="47" t="str">
        <f aca="false">IF(N(G140)&gt;0,MIN(100,H140/G140*100),"")</f>
        <v/>
      </c>
      <c r="Z140" s="47" t="str">
        <f aca="false">IF(N(I140)&gt;0,MIN(100,J140/I140*100),"")</f>
        <v/>
      </c>
      <c r="AA140" s="47" t="str">
        <f aca="false">IF(K140="","",K140/24*100)</f>
        <v/>
      </c>
      <c r="AB140" s="47" t="str">
        <f aca="false">IF(L140="","",L140/3*100)</f>
        <v/>
      </c>
      <c r="AC140" s="47" t="str">
        <f aca="false">IF(OR(M140="",AND(N140&lt;&gt;"",N(N140)&lt;Parámetros!$B$15)),"",MAX(0,MIN(100,(M140-1)/4*100)))</f>
        <v/>
      </c>
      <c r="AD140" s="47" t="str">
        <f aca="false">IF(OR(P140="",N(Q140)=0),"",MAX(0,MIN(100,((Q140/(Q140+Parámetros!$B$16))*P140+(Parámetros!$B$16/(Q140+Parámetros!$B$16))*Parámetros!$B$17-0.1)/0.4*100)))</f>
        <v/>
      </c>
      <c r="AE140" s="47" t="str">
        <f aca="false">IF(N(R140)&gt;0,MIN(100,S140/R140*100),"")</f>
        <v/>
      </c>
      <c r="AF140" s="47" t="str">
        <f aca="false">IF(N(U140)&gt;0,MIN(100,T140/(U140*5)*100),"")</f>
        <v/>
      </c>
      <c r="AG140" s="47" t="str">
        <f aca="false">IF(OR(V140="",N(W140)&lt;10),"",(V140-1)/4*100)</f>
        <v/>
      </c>
      <c r="AH140" s="47" t="str">
        <f aca="false">IF($C140="","",COUNT(X140:AG140))</f>
        <v/>
      </c>
      <c r="AI140" s="47" t="str">
        <f aca="false">IF(OR($C140="",N(AH140)&lt;Parámetros!$B$18),"",(IF(ISNUMBER(X140),X140*Parámetros!$B$2,0)+IF(ISNUMBER(Y140),Y140*Parámetros!$B$3,0)+IF(ISNUMBER(Z140),Z140*Parámetros!$B$4,0)+IF(ISNUMBER(AA140),AA140*Parámetros!$B$5,0)+IF(ISNUMBER(AB140),AB140*Parámetros!$B$6,0)+IF(ISNUMBER(AC140),AC140*Parámetros!$B$7,0)+IF(ISNUMBER(AD140),AD140*Parámetros!$B$8,0)+IF(ISNUMBER(AE140),AE140*Parámetros!$B$9,0)+IF(ISNUMBER(AF140),AF140*Parámetros!$B$10,0)+IF(ISNUMBER(AG140),AG140*Parámetros!$B$11,0))/(IF(ISNUMBER(X140),Parámetros!$B$2,0)+IF(ISNUMBER(Y140),Parámetros!$B$3,0)+IF(ISNUMBER(Z140),Parámetros!$B$4,0)+IF(ISNUMBER(AA140),Parámetros!$B$5,0)+IF(ISNUMBER(AB140),Parámetros!$B$6,0)+IF(ISNUMBER(AC140),Parámetros!$B$7,0)+IF(ISNUMBER(AD140),Parámetros!$B$8,0)+IF(ISNUMBER(AE140),Parámetros!$B$9,0)+IF(ISNUMBER(AF140),Parámetros!$B$10,0)+IF(ISNUMBER(AG140),Parámetros!$B$11,0)))</f>
        <v/>
      </c>
      <c r="AJ140" s="47" t="n">
        <f aca="false">IF(AND(ISNUMBER(Y140),N(Y140)&lt;60),69.9,IF(OR(AND(ISNUMBER(AE140),N(AE140)&lt;80),AND(ISNUMBER(AC140),N(AC140)&lt;50,N(O140)&gt;=2)),84.9,100))</f>
        <v>100</v>
      </c>
      <c r="AK140" s="47" t="str">
        <f aca="false">IF(AI140="","",MIN(AI140,AJ140))</f>
        <v/>
      </c>
      <c r="AL140" s="47" t="str">
        <f aca="false">IF($C140="","",IF(AK140="","Gris — menos de 3 fuentes",IF(AND(AK140&lt;Parámetros!$B$14,N140&lt;&gt;"",N(N140)&lt;Parámetros!$B$15,N(Y140)&gt;=60),"Gris — repetir observación",IF(AK140&gt;=Parámetros!$B$13,"Verde",IF(AK140&gt;=Parámetros!$B$14,"Amarillo","Rojo")))))</f>
        <v/>
      </c>
      <c r="AM140" s="47" t="str">
        <f aca="false">IF($C140="","",IF(AND(ISNUMBER(Y140),N(Y140)&lt;60),"Ejecución &lt; 60 %: rojo automático",IF(AND(ISNUMBER(AE140),N(AE140)&lt;80),"PIAR &lt; 80 %: máximo amarillo",IF(AND(ISNUMBER(AC140),N(AC140)&lt;50,N(O140)&gt;=2),"Observación &lt; 50: máximo amarillo",IF(AND(N140&lt;&gt;"",N(N140)&lt;Parámetros!$B$15),"κ &lt; 0,60: observación descartada, repetir","")))))</f>
        <v/>
      </c>
    </row>
    <row r="141" customFormat="false" ht="15" hidden="false" customHeight="fals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7" t="str">
        <f aca="false">IF(N(E141)&gt;0,MIN(100,F141/E141*100),"")</f>
        <v/>
      </c>
      <c r="Y141" s="47" t="str">
        <f aca="false">IF(N(G141)&gt;0,MIN(100,H141/G141*100),"")</f>
        <v/>
      </c>
      <c r="Z141" s="47" t="str">
        <f aca="false">IF(N(I141)&gt;0,MIN(100,J141/I141*100),"")</f>
        <v/>
      </c>
      <c r="AA141" s="47" t="str">
        <f aca="false">IF(K141="","",K141/24*100)</f>
        <v/>
      </c>
      <c r="AB141" s="47" t="str">
        <f aca="false">IF(L141="","",L141/3*100)</f>
        <v/>
      </c>
      <c r="AC141" s="47" t="str">
        <f aca="false">IF(OR(M141="",AND(N141&lt;&gt;"",N(N141)&lt;Parámetros!$B$15)),"",MAX(0,MIN(100,(M141-1)/4*100)))</f>
        <v/>
      </c>
      <c r="AD141" s="47" t="str">
        <f aca="false">IF(OR(P141="",N(Q141)=0),"",MAX(0,MIN(100,((Q141/(Q141+Parámetros!$B$16))*P141+(Parámetros!$B$16/(Q141+Parámetros!$B$16))*Parámetros!$B$17-0.1)/0.4*100)))</f>
        <v/>
      </c>
      <c r="AE141" s="47" t="str">
        <f aca="false">IF(N(R141)&gt;0,MIN(100,S141/R141*100),"")</f>
        <v/>
      </c>
      <c r="AF141" s="47" t="str">
        <f aca="false">IF(N(U141)&gt;0,MIN(100,T141/(U141*5)*100),"")</f>
        <v/>
      </c>
      <c r="AG141" s="47" t="str">
        <f aca="false">IF(OR(V141="",N(W141)&lt;10),"",(V141-1)/4*100)</f>
        <v/>
      </c>
      <c r="AH141" s="47" t="str">
        <f aca="false">IF($C141="","",COUNT(X141:AG141))</f>
        <v/>
      </c>
      <c r="AI141" s="47" t="str">
        <f aca="false">IF(OR($C141="",N(AH141)&lt;Parámetros!$B$18),"",(IF(ISNUMBER(X141),X141*Parámetros!$B$2,0)+IF(ISNUMBER(Y141),Y141*Parámetros!$B$3,0)+IF(ISNUMBER(Z141),Z141*Parámetros!$B$4,0)+IF(ISNUMBER(AA141),AA141*Parámetros!$B$5,0)+IF(ISNUMBER(AB141),AB141*Parámetros!$B$6,0)+IF(ISNUMBER(AC141),AC141*Parámetros!$B$7,0)+IF(ISNUMBER(AD141),AD141*Parámetros!$B$8,0)+IF(ISNUMBER(AE141),AE141*Parámetros!$B$9,0)+IF(ISNUMBER(AF141),AF141*Parámetros!$B$10,0)+IF(ISNUMBER(AG141),AG141*Parámetros!$B$11,0))/(IF(ISNUMBER(X141),Parámetros!$B$2,0)+IF(ISNUMBER(Y141),Parámetros!$B$3,0)+IF(ISNUMBER(Z141),Parámetros!$B$4,0)+IF(ISNUMBER(AA141),Parámetros!$B$5,0)+IF(ISNUMBER(AB141),Parámetros!$B$6,0)+IF(ISNUMBER(AC141),Parámetros!$B$7,0)+IF(ISNUMBER(AD141),Parámetros!$B$8,0)+IF(ISNUMBER(AE141),Parámetros!$B$9,0)+IF(ISNUMBER(AF141),Parámetros!$B$10,0)+IF(ISNUMBER(AG141),Parámetros!$B$11,0)))</f>
        <v/>
      </c>
      <c r="AJ141" s="47" t="n">
        <f aca="false">IF(AND(ISNUMBER(Y141),N(Y141)&lt;60),69.9,IF(OR(AND(ISNUMBER(AE141),N(AE141)&lt;80),AND(ISNUMBER(AC141),N(AC141)&lt;50,N(O141)&gt;=2)),84.9,100))</f>
        <v>100</v>
      </c>
      <c r="AK141" s="47" t="str">
        <f aca="false">IF(AI141="","",MIN(AI141,AJ141))</f>
        <v/>
      </c>
      <c r="AL141" s="47" t="str">
        <f aca="false">IF($C141="","",IF(AK141="","Gris — menos de 3 fuentes",IF(AND(AK141&lt;Parámetros!$B$14,N141&lt;&gt;"",N(N141)&lt;Parámetros!$B$15,N(Y141)&gt;=60),"Gris — repetir observación",IF(AK141&gt;=Parámetros!$B$13,"Verde",IF(AK141&gt;=Parámetros!$B$14,"Amarillo","Rojo")))))</f>
        <v/>
      </c>
      <c r="AM141" s="47" t="str">
        <f aca="false">IF($C141="","",IF(AND(ISNUMBER(Y141),N(Y141)&lt;60),"Ejecución &lt; 60 %: rojo automático",IF(AND(ISNUMBER(AE141),N(AE141)&lt;80),"PIAR &lt; 80 %: máximo amarillo",IF(AND(ISNUMBER(AC141),N(AC141)&lt;50,N(O141)&gt;=2),"Observación &lt; 50: máximo amarillo",IF(AND(N141&lt;&gt;"",N(N141)&lt;Parámetros!$B$15),"κ &lt; 0,60: observación descartada, repetir","")))))</f>
        <v/>
      </c>
    </row>
    <row r="142" customFormat="false" ht="15" hidden="false" customHeight="fals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7" t="str">
        <f aca="false">IF(N(E142)&gt;0,MIN(100,F142/E142*100),"")</f>
        <v/>
      </c>
      <c r="Y142" s="47" t="str">
        <f aca="false">IF(N(G142)&gt;0,MIN(100,H142/G142*100),"")</f>
        <v/>
      </c>
      <c r="Z142" s="47" t="str">
        <f aca="false">IF(N(I142)&gt;0,MIN(100,J142/I142*100),"")</f>
        <v/>
      </c>
      <c r="AA142" s="47" t="str">
        <f aca="false">IF(K142="","",K142/24*100)</f>
        <v/>
      </c>
      <c r="AB142" s="47" t="str">
        <f aca="false">IF(L142="","",L142/3*100)</f>
        <v/>
      </c>
      <c r="AC142" s="47" t="str">
        <f aca="false">IF(OR(M142="",AND(N142&lt;&gt;"",N(N142)&lt;Parámetros!$B$15)),"",MAX(0,MIN(100,(M142-1)/4*100)))</f>
        <v/>
      </c>
      <c r="AD142" s="47" t="str">
        <f aca="false">IF(OR(P142="",N(Q142)=0),"",MAX(0,MIN(100,((Q142/(Q142+Parámetros!$B$16))*P142+(Parámetros!$B$16/(Q142+Parámetros!$B$16))*Parámetros!$B$17-0.1)/0.4*100)))</f>
        <v/>
      </c>
      <c r="AE142" s="47" t="str">
        <f aca="false">IF(N(R142)&gt;0,MIN(100,S142/R142*100),"")</f>
        <v/>
      </c>
      <c r="AF142" s="47" t="str">
        <f aca="false">IF(N(U142)&gt;0,MIN(100,T142/(U142*5)*100),"")</f>
        <v/>
      </c>
      <c r="AG142" s="47" t="str">
        <f aca="false">IF(OR(V142="",N(W142)&lt;10),"",(V142-1)/4*100)</f>
        <v/>
      </c>
      <c r="AH142" s="47" t="str">
        <f aca="false">IF($C142="","",COUNT(X142:AG142))</f>
        <v/>
      </c>
      <c r="AI142" s="47" t="str">
        <f aca="false">IF(OR($C142="",N(AH142)&lt;Parámetros!$B$18),"",(IF(ISNUMBER(X142),X142*Parámetros!$B$2,0)+IF(ISNUMBER(Y142),Y142*Parámetros!$B$3,0)+IF(ISNUMBER(Z142),Z142*Parámetros!$B$4,0)+IF(ISNUMBER(AA142),AA142*Parámetros!$B$5,0)+IF(ISNUMBER(AB142),AB142*Parámetros!$B$6,0)+IF(ISNUMBER(AC142),AC142*Parámetros!$B$7,0)+IF(ISNUMBER(AD142),AD142*Parámetros!$B$8,0)+IF(ISNUMBER(AE142),AE142*Parámetros!$B$9,0)+IF(ISNUMBER(AF142),AF142*Parámetros!$B$10,0)+IF(ISNUMBER(AG142),AG142*Parámetros!$B$11,0))/(IF(ISNUMBER(X142),Parámetros!$B$2,0)+IF(ISNUMBER(Y142),Parámetros!$B$3,0)+IF(ISNUMBER(Z142),Parámetros!$B$4,0)+IF(ISNUMBER(AA142),Parámetros!$B$5,0)+IF(ISNUMBER(AB142),Parámetros!$B$6,0)+IF(ISNUMBER(AC142),Parámetros!$B$7,0)+IF(ISNUMBER(AD142),Parámetros!$B$8,0)+IF(ISNUMBER(AE142),Parámetros!$B$9,0)+IF(ISNUMBER(AF142),Parámetros!$B$10,0)+IF(ISNUMBER(AG142),Parámetros!$B$11,0)))</f>
        <v/>
      </c>
      <c r="AJ142" s="47" t="n">
        <f aca="false">IF(AND(ISNUMBER(Y142),N(Y142)&lt;60),69.9,IF(OR(AND(ISNUMBER(AE142),N(AE142)&lt;80),AND(ISNUMBER(AC142),N(AC142)&lt;50,N(O142)&gt;=2)),84.9,100))</f>
        <v>100</v>
      </c>
      <c r="AK142" s="47" t="str">
        <f aca="false">IF(AI142="","",MIN(AI142,AJ142))</f>
        <v/>
      </c>
      <c r="AL142" s="47" t="str">
        <f aca="false">IF($C142="","",IF(AK142="","Gris — menos de 3 fuentes",IF(AND(AK142&lt;Parámetros!$B$14,N142&lt;&gt;"",N(N142)&lt;Parámetros!$B$15,N(Y142)&gt;=60),"Gris — repetir observación",IF(AK142&gt;=Parámetros!$B$13,"Verde",IF(AK142&gt;=Parámetros!$B$14,"Amarillo","Rojo")))))</f>
        <v/>
      </c>
      <c r="AM142" s="47" t="str">
        <f aca="false">IF($C142="","",IF(AND(ISNUMBER(Y142),N(Y142)&lt;60),"Ejecución &lt; 60 %: rojo automático",IF(AND(ISNUMBER(AE142),N(AE142)&lt;80),"PIAR &lt; 80 %: máximo amarillo",IF(AND(ISNUMBER(AC142),N(AC142)&lt;50,N(O142)&gt;=2),"Observación &lt; 50: máximo amarillo",IF(AND(N142&lt;&gt;"",N(N142)&lt;Parámetros!$B$15),"κ &lt; 0,60: observación descartada, repetir","")))))</f>
        <v/>
      </c>
    </row>
    <row r="143" customFormat="false" ht="15" hidden="false" customHeight="fals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7" t="str">
        <f aca="false">IF(N(E143)&gt;0,MIN(100,F143/E143*100),"")</f>
        <v/>
      </c>
      <c r="Y143" s="47" t="str">
        <f aca="false">IF(N(G143)&gt;0,MIN(100,H143/G143*100),"")</f>
        <v/>
      </c>
      <c r="Z143" s="47" t="str">
        <f aca="false">IF(N(I143)&gt;0,MIN(100,J143/I143*100),"")</f>
        <v/>
      </c>
      <c r="AA143" s="47" t="str">
        <f aca="false">IF(K143="","",K143/24*100)</f>
        <v/>
      </c>
      <c r="AB143" s="47" t="str">
        <f aca="false">IF(L143="","",L143/3*100)</f>
        <v/>
      </c>
      <c r="AC143" s="47" t="str">
        <f aca="false">IF(OR(M143="",AND(N143&lt;&gt;"",N(N143)&lt;Parámetros!$B$15)),"",MAX(0,MIN(100,(M143-1)/4*100)))</f>
        <v/>
      </c>
      <c r="AD143" s="47" t="str">
        <f aca="false">IF(OR(P143="",N(Q143)=0),"",MAX(0,MIN(100,((Q143/(Q143+Parámetros!$B$16))*P143+(Parámetros!$B$16/(Q143+Parámetros!$B$16))*Parámetros!$B$17-0.1)/0.4*100)))</f>
        <v/>
      </c>
      <c r="AE143" s="47" t="str">
        <f aca="false">IF(N(R143)&gt;0,MIN(100,S143/R143*100),"")</f>
        <v/>
      </c>
      <c r="AF143" s="47" t="str">
        <f aca="false">IF(N(U143)&gt;0,MIN(100,T143/(U143*5)*100),"")</f>
        <v/>
      </c>
      <c r="AG143" s="47" t="str">
        <f aca="false">IF(OR(V143="",N(W143)&lt;10),"",(V143-1)/4*100)</f>
        <v/>
      </c>
      <c r="AH143" s="47" t="str">
        <f aca="false">IF($C143="","",COUNT(X143:AG143))</f>
        <v/>
      </c>
      <c r="AI143" s="47" t="str">
        <f aca="false">IF(OR($C143="",N(AH143)&lt;Parámetros!$B$18),"",(IF(ISNUMBER(X143),X143*Parámetros!$B$2,0)+IF(ISNUMBER(Y143),Y143*Parámetros!$B$3,0)+IF(ISNUMBER(Z143),Z143*Parámetros!$B$4,0)+IF(ISNUMBER(AA143),AA143*Parámetros!$B$5,0)+IF(ISNUMBER(AB143),AB143*Parámetros!$B$6,0)+IF(ISNUMBER(AC143),AC143*Parámetros!$B$7,0)+IF(ISNUMBER(AD143),AD143*Parámetros!$B$8,0)+IF(ISNUMBER(AE143),AE143*Parámetros!$B$9,0)+IF(ISNUMBER(AF143),AF143*Parámetros!$B$10,0)+IF(ISNUMBER(AG143),AG143*Parámetros!$B$11,0))/(IF(ISNUMBER(X143),Parámetros!$B$2,0)+IF(ISNUMBER(Y143),Parámetros!$B$3,0)+IF(ISNUMBER(Z143),Parámetros!$B$4,0)+IF(ISNUMBER(AA143),Parámetros!$B$5,0)+IF(ISNUMBER(AB143),Parámetros!$B$6,0)+IF(ISNUMBER(AC143),Parámetros!$B$7,0)+IF(ISNUMBER(AD143),Parámetros!$B$8,0)+IF(ISNUMBER(AE143),Parámetros!$B$9,0)+IF(ISNUMBER(AF143),Parámetros!$B$10,0)+IF(ISNUMBER(AG143),Parámetros!$B$11,0)))</f>
        <v/>
      </c>
      <c r="AJ143" s="47" t="n">
        <f aca="false">IF(AND(ISNUMBER(Y143),N(Y143)&lt;60),69.9,IF(OR(AND(ISNUMBER(AE143),N(AE143)&lt;80),AND(ISNUMBER(AC143),N(AC143)&lt;50,N(O143)&gt;=2)),84.9,100))</f>
        <v>100</v>
      </c>
      <c r="AK143" s="47" t="str">
        <f aca="false">IF(AI143="","",MIN(AI143,AJ143))</f>
        <v/>
      </c>
      <c r="AL143" s="47" t="str">
        <f aca="false">IF($C143="","",IF(AK143="","Gris — menos de 3 fuentes",IF(AND(AK143&lt;Parámetros!$B$14,N143&lt;&gt;"",N(N143)&lt;Parámetros!$B$15,N(Y143)&gt;=60),"Gris — repetir observación",IF(AK143&gt;=Parámetros!$B$13,"Verde",IF(AK143&gt;=Parámetros!$B$14,"Amarillo","Rojo")))))</f>
        <v/>
      </c>
      <c r="AM143" s="47" t="str">
        <f aca="false">IF($C143="","",IF(AND(ISNUMBER(Y143),N(Y143)&lt;60),"Ejecución &lt; 60 %: rojo automático",IF(AND(ISNUMBER(AE143),N(AE143)&lt;80),"PIAR &lt; 80 %: máximo amarillo",IF(AND(ISNUMBER(AC143),N(AC143)&lt;50,N(O143)&gt;=2),"Observación &lt; 50: máximo amarillo",IF(AND(N143&lt;&gt;"",N(N143)&lt;Parámetros!$B$15),"κ &lt; 0,60: observación descartada, repetir","")))))</f>
        <v/>
      </c>
    </row>
    <row r="144" customFormat="false" ht="15" hidden="false" customHeight="fals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7" t="str">
        <f aca="false">IF(N(E144)&gt;0,MIN(100,F144/E144*100),"")</f>
        <v/>
      </c>
      <c r="Y144" s="47" t="str">
        <f aca="false">IF(N(G144)&gt;0,MIN(100,H144/G144*100),"")</f>
        <v/>
      </c>
      <c r="Z144" s="47" t="str">
        <f aca="false">IF(N(I144)&gt;0,MIN(100,J144/I144*100),"")</f>
        <v/>
      </c>
      <c r="AA144" s="47" t="str">
        <f aca="false">IF(K144="","",K144/24*100)</f>
        <v/>
      </c>
      <c r="AB144" s="47" t="str">
        <f aca="false">IF(L144="","",L144/3*100)</f>
        <v/>
      </c>
      <c r="AC144" s="47" t="str">
        <f aca="false">IF(OR(M144="",AND(N144&lt;&gt;"",N(N144)&lt;Parámetros!$B$15)),"",MAX(0,MIN(100,(M144-1)/4*100)))</f>
        <v/>
      </c>
      <c r="AD144" s="47" t="str">
        <f aca="false">IF(OR(P144="",N(Q144)=0),"",MAX(0,MIN(100,((Q144/(Q144+Parámetros!$B$16))*P144+(Parámetros!$B$16/(Q144+Parámetros!$B$16))*Parámetros!$B$17-0.1)/0.4*100)))</f>
        <v/>
      </c>
      <c r="AE144" s="47" t="str">
        <f aca="false">IF(N(R144)&gt;0,MIN(100,S144/R144*100),"")</f>
        <v/>
      </c>
      <c r="AF144" s="47" t="str">
        <f aca="false">IF(N(U144)&gt;0,MIN(100,T144/(U144*5)*100),"")</f>
        <v/>
      </c>
      <c r="AG144" s="47" t="str">
        <f aca="false">IF(OR(V144="",N(W144)&lt;10),"",(V144-1)/4*100)</f>
        <v/>
      </c>
      <c r="AH144" s="47" t="str">
        <f aca="false">IF($C144="","",COUNT(X144:AG144))</f>
        <v/>
      </c>
      <c r="AI144" s="47" t="str">
        <f aca="false">IF(OR($C144="",N(AH144)&lt;Parámetros!$B$18),"",(IF(ISNUMBER(X144),X144*Parámetros!$B$2,0)+IF(ISNUMBER(Y144),Y144*Parámetros!$B$3,0)+IF(ISNUMBER(Z144),Z144*Parámetros!$B$4,0)+IF(ISNUMBER(AA144),AA144*Parámetros!$B$5,0)+IF(ISNUMBER(AB144),AB144*Parámetros!$B$6,0)+IF(ISNUMBER(AC144),AC144*Parámetros!$B$7,0)+IF(ISNUMBER(AD144),AD144*Parámetros!$B$8,0)+IF(ISNUMBER(AE144),AE144*Parámetros!$B$9,0)+IF(ISNUMBER(AF144),AF144*Parámetros!$B$10,0)+IF(ISNUMBER(AG144),AG144*Parámetros!$B$11,0))/(IF(ISNUMBER(X144),Parámetros!$B$2,0)+IF(ISNUMBER(Y144),Parámetros!$B$3,0)+IF(ISNUMBER(Z144),Parámetros!$B$4,0)+IF(ISNUMBER(AA144),Parámetros!$B$5,0)+IF(ISNUMBER(AB144),Parámetros!$B$6,0)+IF(ISNUMBER(AC144),Parámetros!$B$7,0)+IF(ISNUMBER(AD144),Parámetros!$B$8,0)+IF(ISNUMBER(AE144),Parámetros!$B$9,0)+IF(ISNUMBER(AF144),Parámetros!$B$10,0)+IF(ISNUMBER(AG144),Parámetros!$B$11,0)))</f>
        <v/>
      </c>
      <c r="AJ144" s="47" t="n">
        <f aca="false">IF(AND(ISNUMBER(Y144),N(Y144)&lt;60),69.9,IF(OR(AND(ISNUMBER(AE144),N(AE144)&lt;80),AND(ISNUMBER(AC144),N(AC144)&lt;50,N(O144)&gt;=2)),84.9,100))</f>
        <v>100</v>
      </c>
      <c r="AK144" s="47" t="str">
        <f aca="false">IF(AI144="","",MIN(AI144,AJ144))</f>
        <v/>
      </c>
      <c r="AL144" s="47" t="str">
        <f aca="false">IF($C144="","",IF(AK144="","Gris — menos de 3 fuentes",IF(AND(AK144&lt;Parámetros!$B$14,N144&lt;&gt;"",N(N144)&lt;Parámetros!$B$15,N(Y144)&gt;=60),"Gris — repetir observación",IF(AK144&gt;=Parámetros!$B$13,"Verde",IF(AK144&gt;=Parámetros!$B$14,"Amarillo","Rojo")))))</f>
        <v/>
      </c>
      <c r="AM144" s="47" t="str">
        <f aca="false">IF($C144="","",IF(AND(ISNUMBER(Y144),N(Y144)&lt;60),"Ejecución &lt; 60 %: rojo automático",IF(AND(ISNUMBER(AE144),N(AE144)&lt;80),"PIAR &lt; 80 %: máximo amarillo",IF(AND(ISNUMBER(AC144),N(AC144)&lt;50,N(O144)&gt;=2),"Observación &lt; 50: máximo amarillo",IF(AND(N144&lt;&gt;"",N(N144)&lt;Parámetros!$B$15),"κ &lt; 0,60: observación descartada, repetir","")))))</f>
        <v/>
      </c>
    </row>
    <row r="145" customFormat="false" ht="15" hidden="false" customHeight="fals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7" t="str">
        <f aca="false">IF(N(E145)&gt;0,MIN(100,F145/E145*100),"")</f>
        <v/>
      </c>
      <c r="Y145" s="47" t="str">
        <f aca="false">IF(N(G145)&gt;0,MIN(100,H145/G145*100),"")</f>
        <v/>
      </c>
      <c r="Z145" s="47" t="str">
        <f aca="false">IF(N(I145)&gt;0,MIN(100,J145/I145*100),"")</f>
        <v/>
      </c>
      <c r="AA145" s="47" t="str">
        <f aca="false">IF(K145="","",K145/24*100)</f>
        <v/>
      </c>
      <c r="AB145" s="47" t="str">
        <f aca="false">IF(L145="","",L145/3*100)</f>
        <v/>
      </c>
      <c r="AC145" s="47" t="str">
        <f aca="false">IF(OR(M145="",AND(N145&lt;&gt;"",N(N145)&lt;Parámetros!$B$15)),"",MAX(0,MIN(100,(M145-1)/4*100)))</f>
        <v/>
      </c>
      <c r="AD145" s="47" t="str">
        <f aca="false">IF(OR(P145="",N(Q145)=0),"",MAX(0,MIN(100,((Q145/(Q145+Parámetros!$B$16))*P145+(Parámetros!$B$16/(Q145+Parámetros!$B$16))*Parámetros!$B$17-0.1)/0.4*100)))</f>
        <v/>
      </c>
      <c r="AE145" s="47" t="str">
        <f aca="false">IF(N(R145)&gt;0,MIN(100,S145/R145*100),"")</f>
        <v/>
      </c>
      <c r="AF145" s="47" t="str">
        <f aca="false">IF(N(U145)&gt;0,MIN(100,T145/(U145*5)*100),"")</f>
        <v/>
      </c>
      <c r="AG145" s="47" t="str">
        <f aca="false">IF(OR(V145="",N(W145)&lt;10),"",(V145-1)/4*100)</f>
        <v/>
      </c>
      <c r="AH145" s="47" t="str">
        <f aca="false">IF($C145="","",COUNT(X145:AG145))</f>
        <v/>
      </c>
      <c r="AI145" s="47" t="str">
        <f aca="false">IF(OR($C145="",N(AH145)&lt;Parámetros!$B$18),"",(IF(ISNUMBER(X145),X145*Parámetros!$B$2,0)+IF(ISNUMBER(Y145),Y145*Parámetros!$B$3,0)+IF(ISNUMBER(Z145),Z145*Parámetros!$B$4,0)+IF(ISNUMBER(AA145),AA145*Parámetros!$B$5,0)+IF(ISNUMBER(AB145),AB145*Parámetros!$B$6,0)+IF(ISNUMBER(AC145),AC145*Parámetros!$B$7,0)+IF(ISNUMBER(AD145),AD145*Parámetros!$B$8,0)+IF(ISNUMBER(AE145),AE145*Parámetros!$B$9,0)+IF(ISNUMBER(AF145),AF145*Parámetros!$B$10,0)+IF(ISNUMBER(AG145),AG145*Parámetros!$B$11,0))/(IF(ISNUMBER(X145),Parámetros!$B$2,0)+IF(ISNUMBER(Y145),Parámetros!$B$3,0)+IF(ISNUMBER(Z145),Parámetros!$B$4,0)+IF(ISNUMBER(AA145),Parámetros!$B$5,0)+IF(ISNUMBER(AB145),Parámetros!$B$6,0)+IF(ISNUMBER(AC145),Parámetros!$B$7,0)+IF(ISNUMBER(AD145),Parámetros!$B$8,0)+IF(ISNUMBER(AE145),Parámetros!$B$9,0)+IF(ISNUMBER(AF145),Parámetros!$B$10,0)+IF(ISNUMBER(AG145),Parámetros!$B$11,0)))</f>
        <v/>
      </c>
      <c r="AJ145" s="47" t="n">
        <f aca="false">IF(AND(ISNUMBER(Y145),N(Y145)&lt;60),69.9,IF(OR(AND(ISNUMBER(AE145),N(AE145)&lt;80),AND(ISNUMBER(AC145),N(AC145)&lt;50,N(O145)&gt;=2)),84.9,100))</f>
        <v>100</v>
      </c>
      <c r="AK145" s="47" t="str">
        <f aca="false">IF(AI145="","",MIN(AI145,AJ145))</f>
        <v/>
      </c>
      <c r="AL145" s="47" t="str">
        <f aca="false">IF($C145="","",IF(AK145="","Gris — menos de 3 fuentes",IF(AND(AK145&lt;Parámetros!$B$14,N145&lt;&gt;"",N(N145)&lt;Parámetros!$B$15,N(Y145)&gt;=60),"Gris — repetir observación",IF(AK145&gt;=Parámetros!$B$13,"Verde",IF(AK145&gt;=Parámetros!$B$14,"Amarillo","Rojo")))))</f>
        <v/>
      </c>
      <c r="AM145" s="47" t="str">
        <f aca="false">IF($C145="","",IF(AND(ISNUMBER(Y145),N(Y145)&lt;60),"Ejecución &lt; 60 %: rojo automático",IF(AND(ISNUMBER(AE145),N(AE145)&lt;80),"PIAR &lt; 80 %: máximo amarillo",IF(AND(ISNUMBER(AC145),N(AC145)&lt;50,N(O145)&gt;=2),"Observación &lt; 50: máximo amarillo",IF(AND(N145&lt;&gt;"",N(N145)&lt;Parámetros!$B$15),"κ &lt; 0,60: observación descartada, repetir","")))))</f>
        <v/>
      </c>
    </row>
    <row r="146" customFormat="false" ht="15" hidden="false" customHeight="fals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7" t="str">
        <f aca="false">IF(N(E146)&gt;0,MIN(100,F146/E146*100),"")</f>
        <v/>
      </c>
      <c r="Y146" s="47" t="str">
        <f aca="false">IF(N(G146)&gt;0,MIN(100,H146/G146*100),"")</f>
        <v/>
      </c>
      <c r="Z146" s="47" t="str">
        <f aca="false">IF(N(I146)&gt;0,MIN(100,J146/I146*100),"")</f>
        <v/>
      </c>
      <c r="AA146" s="47" t="str">
        <f aca="false">IF(K146="","",K146/24*100)</f>
        <v/>
      </c>
      <c r="AB146" s="47" t="str">
        <f aca="false">IF(L146="","",L146/3*100)</f>
        <v/>
      </c>
      <c r="AC146" s="47" t="str">
        <f aca="false">IF(OR(M146="",AND(N146&lt;&gt;"",N(N146)&lt;Parámetros!$B$15)),"",MAX(0,MIN(100,(M146-1)/4*100)))</f>
        <v/>
      </c>
      <c r="AD146" s="47" t="str">
        <f aca="false">IF(OR(P146="",N(Q146)=0),"",MAX(0,MIN(100,((Q146/(Q146+Parámetros!$B$16))*P146+(Parámetros!$B$16/(Q146+Parámetros!$B$16))*Parámetros!$B$17-0.1)/0.4*100)))</f>
        <v/>
      </c>
      <c r="AE146" s="47" t="str">
        <f aca="false">IF(N(R146)&gt;0,MIN(100,S146/R146*100),"")</f>
        <v/>
      </c>
      <c r="AF146" s="47" t="str">
        <f aca="false">IF(N(U146)&gt;0,MIN(100,T146/(U146*5)*100),"")</f>
        <v/>
      </c>
      <c r="AG146" s="47" t="str">
        <f aca="false">IF(OR(V146="",N(W146)&lt;10),"",(V146-1)/4*100)</f>
        <v/>
      </c>
      <c r="AH146" s="47" t="str">
        <f aca="false">IF($C146="","",COUNT(X146:AG146))</f>
        <v/>
      </c>
      <c r="AI146" s="47" t="str">
        <f aca="false">IF(OR($C146="",N(AH146)&lt;Parámetros!$B$18),"",(IF(ISNUMBER(X146),X146*Parámetros!$B$2,0)+IF(ISNUMBER(Y146),Y146*Parámetros!$B$3,0)+IF(ISNUMBER(Z146),Z146*Parámetros!$B$4,0)+IF(ISNUMBER(AA146),AA146*Parámetros!$B$5,0)+IF(ISNUMBER(AB146),AB146*Parámetros!$B$6,0)+IF(ISNUMBER(AC146),AC146*Parámetros!$B$7,0)+IF(ISNUMBER(AD146),AD146*Parámetros!$B$8,0)+IF(ISNUMBER(AE146),AE146*Parámetros!$B$9,0)+IF(ISNUMBER(AF146),AF146*Parámetros!$B$10,0)+IF(ISNUMBER(AG146),AG146*Parámetros!$B$11,0))/(IF(ISNUMBER(X146),Parámetros!$B$2,0)+IF(ISNUMBER(Y146),Parámetros!$B$3,0)+IF(ISNUMBER(Z146),Parámetros!$B$4,0)+IF(ISNUMBER(AA146),Parámetros!$B$5,0)+IF(ISNUMBER(AB146),Parámetros!$B$6,0)+IF(ISNUMBER(AC146),Parámetros!$B$7,0)+IF(ISNUMBER(AD146),Parámetros!$B$8,0)+IF(ISNUMBER(AE146),Parámetros!$B$9,0)+IF(ISNUMBER(AF146),Parámetros!$B$10,0)+IF(ISNUMBER(AG146),Parámetros!$B$11,0)))</f>
        <v/>
      </c>
      <c r="AJ146" s="47" t="n">
        <f aca="false">IF(AND(ISNUMBER(Y146),N(Y146)&lt;60),69.9,IF(OR(AND(ISNUMBER(AE146),N(AE146)&lt;80),AND(ISNUMBER(AC146),N(AC146)&lt;50,N(O146)&gt;=2)),84.9,100))</f>
        <v>100</v>
      </c>
      <c r="AK146" s="47" t="str">
        <f aca="false">IF(AI146="","",MIN(AI146,AJ146))</f>
        <v/>
      </c>
      <c r="AL146" s="47" t="str">
        <f aca="false">IF($C146="","",IF(AK146="","Gris — menos de 3 fuentes",IF(AND(AK146&lt;Parámetros!$B$14,N146&lt;&gt;"",N(N146)&lt;Parámetros!$B$15,N(Y146)&gt;=60),"Gris — repetir observación",IF(AK146&gt;=Parámetros!$B$13,"Verde",IF(AK146&gt;=Parámetros!$B$14,"Amarillo","Rojo")))))</f>
        <v/>
      </c>
      <c r="AM146" s="47" t="str">
        <f aca="false">IF($C146="","",IF(AND(ISNUMBER(Y146),N(Y146)&lt;60),"Ejecución &lt; 60 %: rojo automático",IF(AND(ISNUMBER(AE146),N(AE146)&lt;80),"PIAR &lt; 80 %: máximo amarillo",IF(AND(ISNUMBER(AC146),N(AC146)&lt;50,N(O146)&gt;=2),"Observación &lt; 50: máximo amarillo",IF(AND(N146&lt;&gt;"",N(N146)&lt;Parámetros!$B$15),"κ &lt; 0,60: observación descartada, repetir","")))))</f>
        <v/>
      </c>
    </row>
    <row r="147" customFormat="false" ht="15" hidden="false" customHeight="fals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7" t="str">
        <f aca="false">IF(N(E147)&gt;0,MIN(100,F147/E147*100),"")</f>
        <v/>
      </c>
      <c r="Y147" s="47" t="str">
        <f aca="false">IF(N(G147)&gt;0,MIN(100,H147/G147*100),"")</f>
        <v/>
      </c>
      <c r="Z147" s="47" t="str">
        <f aca="false">IF(N(I147)&gt;0,MIN(100,J147/I147*100),"")</f>
        <v/>
      </c>
      <c r="AA147" s="47" t="str">
        <f aca="false">IF(K147="","",K147/24*100)</f>
        <v/>
      </c>
      <c r="AB147" s="47" t="str">
        <f aca="false">IF(L147="","",L147/3*100)</f>
        <v/>
      </c>
      <c r="AC147" s="47" t="str">
        <f aca="false">IF(OR(M147="",AND(N147&lt;&gt;"",N(N147)&lt;Parámetros!$B$15)),"",MAX(0,MIN(100,(M147-1)/4*100)))</f>
        <v/>
      </c>
      <c r="AD147" s="47" t="str">
        <f aca="false">IF(OR(P147="",N(Q147)=0),"",MAX(0,MIN(100,((Q147/(Q147+Parámetros!$B$16))*P147+(Parámetros!$B$16/(Q147+Parámetros!$B$16))*Parámetros!$B$17-0.1)/0.4*100)))</f>
        <v/>
      </c>
      <c r="AE147" s="47" t="str">
        <f aca="false">IF(N(R147)&gt;0,MIN(100,S147/R147*100),"")</f>
        <v/>
      </c>
      <c r="AF147" s="47" t="str">
        <f aca="false">IF(N(U147)&gt;0,MIN(100,T147/(U147*5)*100),"")</f>
        <v/>
      </c>
      <c r="AG147" s="47" t="str">
        <f aca="false">IF(OR(V147="",N(W147)&lt;10),"",(V147-1)/4*100)</f>
        <v/>
      </c>
      <c r="AH147" s="47" t="str">
        <f aca="false">IF($C147="","",COUNT(X147:AG147))</f>
        <v/>
      </c>
      <c r="AI147" s="47" t="str">
        <f aca="false">IF(OR($C147="",N(AH147)&lt;Parámetros!$B$18),"",(IF(ISNUMBER(X147),X147*Parámetros!$B$2,0)+IF(ISNUMBER(Y147),Y147*Parámetros!$B$3,0)+IF(ISNUMBER(Z147),Z147*Parámetros!$B$4,0)+IF(ISNUMBER(AA147),AA147*Parámetros!$B$5,0)+IF(ISNUMBER(AB147),AB147*Parámetros!$B$6,0)+IF(ISNUMBER(AC147),AC147*Parámetros!$B$7,0)+IF(ISNUMBER(AD147),AD147*Parámetros!$B$8,0)+IF(ISNUMBER(AE147),AE147*Parámetros!$B$9,0)+IF(ISNUMBER(AF147),AF147*Parámetros!$B$10,0)+IF(ISNUMBER(AG147),AG147*Parámetros!$B$11,0))/(IF(ISNUMBER(X147),Parámetros!$B$2,0)+IF(ISNUMBER(Y147),Parámetros!$B$3,0)+IF(ISNUMBER(Z147),Parámetros!$B$4,0)+IF(ISNUMBER(AA147),Parámetros!$B$5,0)+IF(ISNUMBER(AB147),Parámetros!$B$6,0)+IF(ISNUMBER(AC147),Parámetros!$B$7,0)+IF(ISNUMBER(AD147),Parámetros!$B$8,0)+IF(ISNUMBER(AE147),Parámetros!$B$9,0)+IF(ISNUMBER(AF147),Parámetros!$B$10,0)+IF(ISNUMBER(AG147),Parámetros!$B$11,0)))</f>
        <v/>
      </c>
      <c r="AJ147" s="47" t="n">
        <f aca="false">IF(AND(ISNUMBER(Y147),N(Y147)&lt;60),69.9,IF(OR(AND(ISNUMBER(AE147),N(AE147)&lt;80),AND(ISNUMBER(AC147),N(AC147)&lt;50,N(O147)&gt;=2)),84.9,100))</f>
        <v>100</v>
      </c>
      <c r="AK147" s="47" t="str">
        <f aca="false">IF(AI147="","",MIN(AI147,AJ147))</f>
        <v/>
      </c>
      <c r="AL147" s="47" t="str">
        <f aca="false">IF($C147="","",IF(AK147="","Gris — menos de 3 fuentes",IF(AND(AK147&lt;Parámetros!$B$14,N147&lt;&gt;"",N(N147)&lt;Parámetros!$B$15,N(Y147)&gt;=60),"Gris — repetir observación",IF(AK147&gt;=Parámetros!$B$13,"Verde",IF(AK147&gt;=Parámetros!$B$14,"Amarillo","Rojo")))))</f>
        <v/>
      </c>
      <c r="AM147" s="47" t="str">
        <f aca="false">IF($C147="","",IF(AND(ISNUMBER(Y147),N(Y147)&lt;60),"Ejecución &lt; 60 %: rojo automático",IF(AND(ISNUMBER(AE147),N(AE147)&lt;80),"PIAR &lt; 80 %: máximo amarillo",IF(AND(ISNUMBER(AC147),N(AC147)&lt;50,N(O147)&gt;=2),"Observación &lt; 50: máximo amarillo",IF(AND(N147&lt;&gt;"",N(N147)&lt;Parámetros!$B$15),"κ &lt; 0,60: observación descartada, repetir","")))))</f>
        <v/>
      </c>
    </row>
    <row r="148" customFormat="false" ht="15" hidden="false" customHeight="fals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7" t="str">
        <f aca="false">IF(N(E148)&gt;0,MIN(100,F148/E148*100),"")</f>
        <v/>
      </c>
      <c r="Y148" s="47" t="str">
        <f aca="false">IF(N(G148)&gt;0,MIN(100,H148/G148*100),"")</f>
        <v/>
      </c>
      <c r="Z148" s="47" t="str">
        <f aca="false">IF(N(I148)&gt;0,MIN(100,J148/I148*100),"")</f>
        <v/>
      </c>
      <c r="AA148" s="47" t="str">
        <f aca="false">IF(K148="","",K148/24*100)</f>
        <v/>
      </c>
      <c r="AB148" s="47" t="str">
        <f aca="false">IF(L148="","",L148/3*100)</f>
        <v/>
      </c>
      <c r="AC148" s="47" t="str">
        <f aca="false">IF(OR(M148="",AND(N148&lt;&gt;"",N(N148)&lt;Parámetros!$B$15)),"",MAX(0,MIN(100,(M148-1)/4*100)))</f>
        <v/>
      </c>
      <c r="AD148" s="47" t="str">
        <f aca="false">IF(OR(P148="",N(Q148)=0),"",MAX(0,MIN(100,((Q148/(Q148+Parámetros!$B$16))*P148+(Parámetros!$B$16/(Q148+Parámetros!$B$16))*Parámetros!$B$17-0.1)/0.4*100)))</f>
        <v/>
      </c>
      <c r="AE148" s="47" t="str">
        <f aca="false">IF(N(R148)&gt;0,MIN(100,S148/R148*100),"")</f>
        <v/>
      </c>
      <c r="AF148" s="47" t="str">
        <f aca="false">IF(N(U148)&gt;0,MIN(100,T148/(U148*5)*100),"")</f>
        <v/>
      </c>
      <c r="AG148" s="47" t="str">
        <f aca="false">IF(OR(V148="",N(W148)&lt;10),"",(V148-1)/4*100)</f>
        <v/>
      </c>
      <c r="AH148" s="47" t="str">
        <f aca="false">IF($C148="","",COUNT(X148:AG148))</f>
        <v/>
      </c>
      <c r="AI148" s="47" t="str">
        <f aca="false">IF(OR($C148="",N(AH148)&lt;Parámetros!$B$18),"",(IF(ISNUMBER(X148),X148*Parámetros!$B$2,0)+IF(ISNUMBER(Y148),Y148*Parámetros!$B$3,0)+IF(ISNUMBER(Z148),Z148*Parámetros!$B$4,0)+IF(ISNUMBER(AA148),AA148*Parámetros!$B$5,0)+IF(ISNUMBER(AB148),AB148*Parámetros!$B$6,0)+IF(ISNUMBER(AC148),AC148*Parámetros!$B$7,0)+IF(ISNUMBER(AD148),AD148*Parámetros!$B$8,0)+IF(ISNUMBER(AE148),AE148*Parámetros!$B$9,0)+IF(ISNUMBER(AF148),AF148*Parámetros!$B$10,0)+IF(ISNUMBER(AG148),AG148*Parámetros!$B$11,0))/(IF(ISNUMBER(X148),Parámetros!$B$2,0)+IF(ISNUMBER(Y148),Parámetros!$B$3,0)+IF(ISNUMBER(Z148),Parámetros!$B$4,0)+IF(ISNUMBER(AA148),Parámetros!$B$5,0)+IF(ISNUMBER(AB148),Parámetros!$B$6,0)+IF(ISNUMBER(AC148),Parámetros!$B$7,0)+IF(ISNUMBER(AD148),Parámetros!$B$8,0)+IF(ISNUMBER(AE148),Parámetros!$B$9,0)+IF(ISNUMBER(AF148),Parámetros!$B$10,0)+IF(ISNUMBER(AG148),Parámetros!$B$11,0)))</f>
        <v/>
      </c>
      <c r="AJ148" s="47" t="n">
        <f aca="false">IF(AND(ISNUMBER(Y148),N(Y148)&lt;60),69.9,IF(OR(AND(ISNUMBER(AE148),N(AE148)&lt;80),AND(ISNUMBER(AC148),N(AC148)&lt;50,N(O148)&gt;=2)),84.9,100))</f>
        <v>100</v>
      </c>
      <c r="AK148" s="47" t="str">
        <f aca="false">IF(AI148="","",MIN(AI148,AJ148))</f>
        <v/>
      </c>
      <c r="AL148" s="47" t="str">
        <f aca="false">IF($C148="","",IF(AK148="","Gris — menos de 3 fuentes",IF(AND(AK148&lt;Parámetros!$B$14,N148&lt;&gt;"",N(N148)&lt;Parámetros!$B$15,N(Y148)&gt;=60),"Gris — repetir observación",IF(AK148&gt;=Parámetros!$B$13,"Verde",IF(AK148&gt;=Parámetros!$B$14,"Amarillo","Rojo")))))</f>
        <v/>
      </c>
      <c r="AM148" s="47" t="str">
        <f aca="false">IF($C148="","",IF(AND(ISNUMBER(Y148),N(Y148)&lt;60),"Ejecución &lt; 60 %: rojo automático",IF(AND(ISNUMBER(AE148),N(AE148)&lt;80),"PIAR &lt; 80 %: máximo amarillo",IF(AND(ISNUMBER(AC148),N(AC148)&lt;50,N(O148)&gt;=2),"Observación &lt; 50: máximo amarillo",IF(AND(N148&lt;&gt;"",N(N148)&lt;Parámetros!$B$15),"κ &lt; 0,60: observación descartada, repetir","")))))</f>
        <v/>
      </c>
    </row>
    <row r="149" customFormat="false" ht="15" hidden="false" customHeight="fals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7" t="str">
        <f aca="false">IF(N(E149)&gt;0,MIN(100,F149/E149*100),"")</f>
        <v/>
      </c>
      <c r="Y149" s="47" t="str">
        <f aca="false">IF(N(G149)&gt;0,MIN(100,H149/G149*100),"")</f>
        <v/>
      </c>
      <c r="Z149" s="47" t="str">
        <f aca="false">IF(N(I149)&gt;0,MIN(100,J149/I149*100),"")</f>
        <v/>
      </c>
      <c r="AA149" s="47" t="str">
        <f aca="false">IF(K149="","",K149/24*100)</f>
        <v/>
      </c>
      <c r="AB149" s="47" t="str">
        <f aca="false">IF(L149="","",L149/3*100)</f>
        <v/>
      </c>
      <c r="AC149" s="47" t="str">
        <f aca="false">IF(OR(M149="",AND(N149&lt;&gt;"",N(N149)&lt;Parámetros!$B$15)),"",MAX(0,MIN(100,(M149-1)/4*100)))</f>
        <v/>
      </c>
      <c r="AD149" s="47" t="str">
        <f aca="false">IF(OR(P149="",N(Q149)=0),"",MAX(0,MIN(100,((Q149/(Q149+Parámetros!$B$16))*P149+(Parámetros!$B$16/(Q149+Parámetros!$B$16))*Parámetros!$B$17-0.1)/0.4*100)))</f>
        <v/>
      </c>
      <c r="AE149" s="47" t="str">
        <f aca="false">IF(N(R149)&gt;0,MIN(100,S149/R149*100),"")</f>
        <v/>
      </c>
      <c r="AF149" s="47" t="str">
        <f aca="false">IF(N(U149)&gt;0,MIN(100,T149/(U149*5)*100),"")</f>
        <v/>
      </c>
      <c r="AG149" s="47" t="str">
        <f aca="false">IF(OR(V149="",N(W149)&lt;10),"",(V149-1)/4*100)</f>
        <v/>
      </c>
      <c r="AH149" s="47" t="str">
        <f aca="false">IF($C149="","",COUNT(X149:AG149))</f>
        <v/>
      </c>
      <c r="AI149" s="47" t="str">
        <f aca="false">IF(OR($C149="",N(AH149)&lt;Parámetros!$B$18),"",(IF(ISNUMBER(X149),X149*Parámetros!$B$2,0)+IF(ISNUMBER(Y149),Y149*Parámetros!$B$3,0)+IF(ISNUMBER(Z149),Z149*Parámetros!$B$4,0)+IF(ISNUMBER(AA149),AA149*Parámetros!$B$5,0)+IF(ISNUMBER(AB149),AB149*Parámetros!$B$6,0)+IF(ISNUMBER(AC149),AC149*Parámetros!$B$7,0)+IF(ISNUMBER(AD149),AD149*Parámetros!$B$8,0)+IF(ISNUMBER(AE149),AE149*Parámetros!$B$9,0)+IF(ISNUMBER(AF149),AF149*Parámetros!$B$10,0)+IF(ISNUMBER(AG149),AG149*Parámetros!$B$11,0))/(IF(ISNUMBER(X149),Parámetros!$B$2,0)+IF(ISNUMBER(Y149),Parámetros!$B$3,0)+IF(ISNUMBER(Z149),Parámetros!$B$4,0)+IF(ISNUMBER(AA149),Parámetros!$B$5,0)+IF(ISNUMBER(AB149),Parámetros!$B$6,0)+IF(ISNUMBER(AC149),Parámetros!$B$7,0)+IF(ISNUMBER(AD149),Parámetros!$B$8,0)+IF(ISNUMBER(AE149),Parámetros!$B$9,0)+IF(ISNUMBER(AF149),Parámetros!$B$10,0)+IF(ISNUMBER(AG149),Parámetros!$B$11,0)))</f>
        <v/>
      </c>
      <c r="AJ149" s="47" t="n">
        <f aca="false">IF(AND(ISNUMBER(Y149),N(Y149)&lt;60),69.9,IF(OR(AND(ISNUMBER(AE149),N(AE149)&lt;80),AND(ISNUMBER(AC149),N(AC149)&lt;50,N(O149)&gt;=2)),84.9,100))</f>
        <v>100</v>
      </c>
      <c r="AK149" s="47" t="str">
        <f aca="false">IF(AI149="","",MIN(AI149,AJ149))</f>
        <v/>
      </c>
      <c r="AL149" s="47" t="str">
        <f aca="false">IF($C149="","",IF(AK149="","Gris — menos de 3 fuentes",IF(AND(AK149&lt;Parámetros!$B$14,N149&lt;&gt;"",N(N149)&lt;Parámetros!$B$15,N(Y149)&gt;=60),"Gris — repetir observación",IF(AK149&gt;=Parámetros!$B$13,"Verde",IF(AK149&gt;=Parámetros!$B$14,"Amarillo","Rojo")))))</f>
        <v/>
      </c>
      <c r="AM149" s="47" t="str">
        <f aca="false">IF($C149="","",IF(AND(ISNUMBER(Y149),N(Y149)&lt;60),"Ejecución &lt; 60 %: rojo automático",IF(AND(ISNUMBER(AE149),N(AE149)&lt;80),"PIAR &lt; 80 %: máximo amarillo",IF(AND(ISNUMBER(AC149),N(AC149)&lt;50,N(O149)&gt;=2),"Observación &lt; 50: máximo amarillo",IF(AND(N149&lt;&gt;"",N(N149)&lt;Parámetros!$B$15),"κ &lt; 0,60: observación descartada, repetir","")))))</f>
        <v/>
      </c>
    </row>
    <row r="150" customFormat="false" ht="15" hidden="false" customHeight="fals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7" t="str">
        <f aca="false">IF(N(E150)&gt;0,MIN(100,F150/E150*100),"")</f>
        <v/>
      </c>
      <c r="Y150" s="47" t="str">
        <f aca="false">IF(N(G150)&gt;0,MIN(100,H150/G150*100),"")</f>
        <v/>
      </c>
      <c r="Z150" s="47" t="str">
        <f aca="false">IF(N(I150)&gt;0,MIN(100,J150/I150*100),"")</f>
        <v/>
      </c>
      <c r="AA150" s="47" t="str">
        <f aca="false">IF(K150="","",K150/24*100)</f>
        <v/>
      </c>
      <c r="AB150" s="47" t="str">
        <f aca="false">IF(L150="","",L150/3*100)</f>
        <v/>
      </c>
      <c r="AC150" s="47" t="str">
        <f aca="false">IF(OR(M150="",AND(N150&lt;&gt;"",N(N150)&lt;Parámetros!$B$15)),"",MAX(0,MIN(100,(M150-1)/4*100)))</f>
        <v/>
      </c>
      <c r="AD150" s="47" t="str">
        <f aca="false">IF(OR(P150="",N(Q150)=0),"",MAX(0,MIN(100,((Q150/(Q150+Parámetros!$B$16))*P150+(Parámetros!$B$16/(Q150+Parámetros!$B$16))*Parámetros!$B$17-0.1)/0.4*100)))</f>
        <v/>
      </c>
      <c r="AE150" s="47" t="str">
        <f aca="false">IF(N(R150)&gt;0,MIN(100,S150/R150*100),"")</f>
        <v/>
      </c>
      <c r="AF150" s="47" t="str">
        <f aca="false">IF(N(U150)&gt;0,MIN(100,T150/(U150*5)*100),"")</f>
        <v/>
      </c>
      <c r="AG150" s="47" t="str">
        <f aca="false">IF(OR(V150="",N(W150)&lt;10),"",(V150-1)/4*100)</f>
        <v/>
      </c>
      <c r="AH150" s="47" t="str">
        <f aca="false">IF($C150="","",COUNT(X150:AG150))</f>
        <v/>
      </c>
      <c r="AI150" s="47" t="str">
        <f aca="false">IF(OR($C150="",N(AH150)&lt;Parámetros!$B$18),"",(IF(ISNUMBER(X150),X150*Parámetros!$B$2,0)+IF(ISNUMBER(Y150),Y150*Parámetros!$B$3,0)+IF(ISNUMBER(Z150),Z150*Parámetros!$B$4,0)+IF(ISNUMBER(AA150),AA150*Parámetros!$B$5,0)+IF(ISNUMBER(AB150),AB150*Parámetros!$B$6,0)+IF(ISNUMBER(AC150),AC150*Parámetros!$B$7,0)+IF(ISNUMBER(AD150),AD150*Parámetros!$B$8,0)+IF(ISNUMBER(AE150),AE150*Parámetros!$B$9,0)+IF(ISNUMBER(AF150),AF150*Parámetros!$B$10,0)+IF(ISNUMBER(AG150),AG150*Parámetros!$B$11,0))/(IF(ISNUMBER(X150),Parámetros!$B$2,0)+IF(ISNUMBER(Y150),Parámetros!$B$3,0)+IF(ISNUMBER(Z150),Parámetros!$B$4,0)+IF(ISNUMBER(AA150),Parámetros!$B$5,0)+IF(ISNUMBER(AB150),Parámetros!$B$6,0)+IF(ISNUMBER(AC150),Parámetros!$B$7,0)+IF(ISNUMBER(AD150),Parámetros!$B$8,0)+IF(ISNUMBER(AE150),Parámetros!$B$9,0)+IF(ISNUMBER(AF150),Parámetros!$B$10,0)+IF(ISNUMBER(AG150),Parámetros!$B$11,0)))</f>
        <v/>
      </c>
      <c r="AJ150" s="47" t="n">
        <f aca="false">IF(AND(ISNUMBER(Y150),N(Y150)&lt;60),69.9,IF(OR(AND(ISNUMBER(AE150),N(AE150)&lt;80),AND(ISNUMBER(AC150),N(AC150)&lt;50,N(O150)&gt;=2)),84.9,100))</f>
        <v>100</v>
      </c>
      <c r="AK150" s="47" t="str">
        <f aca="false">IF(AI150="","",MIN(AI150,AJ150))</f>
        <v/>
      </c>
      <c r="AL150" s="47" t="str">
        <f aca="false">IF($C150="","",IF(AK150="","Gris — menos de 3 fuentes",IF(AND(AK150&lt;Parámetros!$B$14,N150&lt;&gt;"",N(N150)&lt;Parámetros!$B$15,N(Y150)&gt;=60),"Gris — repetir observación",IF(AK150&gt;=Parámetros!$B$13,"Verde",IF(AK150&gt;=Parámetros!$B$14,"Amarillo","Rojo")))))</f>
        <v/>
      </c>
      <c r="AM150" s="47" t="str">
        <f aca="false">IF($C150="","",IF(AND(ISNUMBER(Y150),N(Y150)&lt;60),"Ejecución &lt; 60 %: rojo automático",IF(AND(ISNUMBER(AE150),N(AE150)&lt;80),"PIAR &lt; 80 %: máximo amarillo",IF(AND(ISNUMBER(AC150),N(AC150)&lt;50,N(O150)&gt;=2),"Observación &lt; 50: máximo amarillo",IF(AND(N150&lt;&gt;"",N(N150)&lt;Parámetros!$B$15),"κ &lt; 0,60: observación descartada, repetir","")))))</f>
        <v/>
      </c>
    </row>
    <row r="151" customFormat="false" ht="15" hidden="false" customHeight="fals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7" t="str">
        <f aca="false">IF(N(E151)&gt;0,MIN(100,F151/E151*100),"")</f>
        <v/>
      </c>
      <c r="Y151" s="47" t="str">
        <f aca="false">IF(N(G151)&gt;0,MIN(100,H151/G151*100),"")</f>
        <v/>
      </c>
      <c r="Z151" s="47" t="str">
        <f aca="false">IF(N(I151)&gt;0,MIN(100,J151/I151*100),"")</f>
        <v/>
      </c>
      <c r="AA151" s="47" t="str">
        <f aca="false">IF(K151="","",K151/24*100)</f>
        <v/>
      </c>
      <c r="AB151" s="47" t="str">
        <f aca="false">IF(L151="","",L151/3*100)</f>
        <v/>
      </c>
      <c r="AC151" s="47" t="str">
        <f aca="false">IF(OR(M151="",AND(N151&lt;&gt;"",N(N151)&lt;Parámetros!$B$15)),"",MAX(0,MIN(100,(M151-1)/4*100)))</f>
        <v/>
      </c>
      <c r="AD151" s="47" t="str">
        <f aca="false">IF(OR(P151="",N(Q151)=0),"",MAX(0,MIN(100,((Q151/(Q151+Parámetros!$B$16))*P151+(Parámetros!$B$16/(Q151+Parámetros!$B$16))*Parámetros!$B$17-0.1)/0.4*100)))</f>
        <v/>
      </c>
      <c r="AE151" s="47" t="str">
        <f aca="false">IF(N(R151)&gt;0,MIN(100,S151/R151*100),"")</f>
        <v/>
      </c>
      <c r="AF151" s="47" t="str">
        <f aca="false">IF(N(U151)&gt;0,MIN(100,T151/(U151*5)*100),"")</f>
        <v/>
      </c>
      <c r="AG151" s="47" t="str">
        <f aca="false">IF(OR(V151="",N(W151)&lt;10),"",(V151-1)/4*100)</f>
        <v/>
      </c>
      <c r="AH151" s="47" t="str">
        <f aca="false">IF($C151="","",COUNT(X151:AG151))</f>
        <v/>
      </c>
      <c r="AI151" s="47" t="str">
        <f aca="false">IF(OR($C151="",N(AH151)&lt;Parámetros!$B$18),"",(IF(ISNUMBER(X151),X151*Parámetros!$B$2,0)+IF(ISNUMBER(Y151),Y151*Parámetros!$B$3,0)+IF(ISNUMBER(Z151),Z151*Parámetros!$B$4,0)+IF(ISNUMBER(AA151),AA151*Parámetros!$B$5,0)+IF(ISNUMBER(AB151),AB151*Parámetros!$B$6,0)+IF(ISNUMBER(AC151),AC151*Parámetros!$B$7,0)+IF(ISNUMBER(AD151),AD151*Parámetros!$B$8,0)+IF(ISNUMBER(AE151),AE151*Parámetros!$B$9,0)+IF(ISNUMBER(AF151),AF151*Parámetros!$B$10,0)+IF(ISNUMBER(AG151),AG151*Parámetros!$B$11,0))/(IF(ISNUMBER(X151),Parámetros!$B$2,0)+IF(ISNUMBER(Y151),Parámetros!$B$3,0)+IF(ISNUMBER(Z151),Parámetros!$B$4,0)+IF(ISNUMBER(AA151),Parámetros!$B$5,0)+IF(ISNUMBER(AB151),Parámetros!$B$6,0)+IF(ISNUMBER(AC151),Parámetros!$B$7,0)+IF(ISNUMBER(AD151),Parámetros!$B$8,0)+IF(ISNUMBER(AE151),Parámetros!$B$9,0)+IF(ISNUMBER(AF151),Parámetros!$B$10,0)+IF(ISNUMBER(AG151),Parámetros!$B$11,0)))</f>
        <v/>
      </c>
      <c r="AJ151" s="47" t="n">
        <f aca="false">IF(AND(ISNUMBER(Y151),N(Y151)&lt;60),69.9,IF(OR(AND(ISNUMBER(AE151),N(AE151)&lt;80),AND(ISNUMBER(AC151),N(AC151)&lt;50,N(O151)&gt;=2)),84.9,100))</f>
        <v>100</v>
      </c>
      <c r="AK151" s="47" t="str">
        <f aca="false">IF(AI151="","",MIN(AI151,AJ151))</f>
        <v/>
      </c>
      <c r="AL151" s="47" t="str">
        <f aca="false">IF($C151="","",IF(AK151="","Gris — menos de 3 fuentes",IF(AND(AK151&lt;Parámetros!$B$14,N151&lt;&gt;"",N(N151)&lt;Parámetros!$B$15,N(Y151)&gt;=60),"Gris — repetir observación",IF(AK151&gt;=Parámetros!$B$13,"Verde",IF(AK151&gt;=Parámetros!$B$14,"Amarillo","Rojo")))))</f>
        <v/>
      </c>
      <c r="AM151" s="47" t="str">
        <f aca="false">IF($C151="","",IF(AND(ISNUMBER(Y151),N(Y151)&lt;60),"Ejecución &lt; 60 %: rojo automático",IF(AND(ISNUMBER(AE151),N(AE151)&lt;80),"PIAR &lt; 80 %: máximo amarillo",IF(AND(ISNUMBER(AC151),N(AC151)&lt;50,N(O151)&gt;=2),"Observación &lt; 50: máximo amarillo",IF(AND(N151&lt;&gt;"",N(N151)&lt;Parámetros!$B$15),"κ &lt; 0,60: observación descartada, repetir","")))))</f>
        <v/>
      </c>
    </row>
    <row r="152" customFormat="false" ht="15" hidden="false" customHeight="fals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7" t="str">
        <f aca="false">IF(N(E152)&gt;0,MIN(100,F152/E152*100),"")</f>
        <v/>
      </c>
      <c r="Y152" s="47" t="str">
        <f aca="false">IF(N(G152)&gt;0,MIN(100,H152/G152*100),"")</f>
        <v/>
      </c>
      <c r="Z152" s="47" t="str">
        <f aca="false">IF(N(I152)&gt;0,MIN(100,J152/I152*100),"")</f>
        <v/>
      </c>
      <c r="AA152" s="47" t="str">
        <f aca="false">IF(K152="","",K152/24*100)</f>
        <v/>
      </c>
      <c r="AB152" s="47" t="str">
        <f aca="false">IF(L152="","",L152/3*100)</f>
        <v/>
      </c>
      <c r="AC152" s="47" t="str">
        <f aca="false">IF(OR(M152="",AND(N152&lt;&gt;"",N(N152)&lt;Parámetros!$B$15)),"",MAX(0,MIN(100,(M152-1)/4*100)))</f>
        <v/>
      </c>
      <c r="AD152" s="47" t="str">
        <f aca="false">IF(OR(P152="",N(Q152)=0),"",MAX(0,MIN(100,((Q152/(Q152+Parámetros!$B$16))*P152+(Parámetros!$B$16/(Q152+Parámetros!$B$16))*Parámetros!$B$17-0.1)/0.4*100)))</f>
        <v/>
      </c>
      <c r="AE152" s="47" t="str">
        <f aca="false">IF(N(R152)&gt;0,MIN(100,S152/R152*100),"")</f>
        <v/>
      </c>
      <c r="AF152" s="47" t="str">
        <f aca="false">IF(N(U152)&gt;0,MIN(100,T152/(U152*5)*100),"")</f>
        <v/>
      </c>
      <c r="AG152" s="47" t="str">
        <f aca="false">IF(OR(V152="",N(W152)&lt;10),"",(V152-1)/4*100)</f>
        <v/>
      </c>
      <c r="AH152" s="47" t="str">
        <f aca="false">IF($C152="","",COUNT(X152:AG152))</f>
        <v/>
      </c>
      <c r="AI152" s="47" t="str">
        <f aca="false">IF(OR($C152="",N(AH152)&lt;Parámetros!$B$18),"",(IF(ISNUMBER(X152),X152*Parámetros!$B$2,0)+IF(ISNUMBER(Y152),Y152*Parámetros!$B$3,0)+IF(ISNUMBER(Z152),Z152*Parámetros!$B$4,0)+IF(ISNUMBER(AA152),AA152*Parámetros!$B$5,0)+IF(ISNUMBER(AB152),AB152*Parámetros!$B$6,0)+IF(ISNUMBER(AC152),AC152*Parámetros!$B$7,0)+IF(ISNUMBER(AD152),AD152*Parámetros!$B$8,0)+IF(ISNUMBER(AE152),AE152*Parámetros!$B$9,0)+IF(ISNUMBER(AF152),AF152*Parámetros!$B$10,0)+IF(ISNUMBER(AG152),AG152*Parámetros!$B$11,0))/(IF(ISNUMBER(X152),Parámetros!$B$2,0)+IF(ISNUMBER(Y152),Parámetros!$B$3,0)+IF(ISNUMBER(Z152),Parámetros!$B$4,0)+IF(ISNUMBER(AA152),Parámetros!$B$5,0)+IF(ISNUMBER(AB152),Parámetros!$B$6,0)+IF(ISNUMBER(AC152),Parámetros!$B$7,0)+IF(ISNUMBER(AD152),Parámetros!$B$8,0)+IF(ISNUMBER(AE152),Parámetros!$B$9,0)+IF(ISNUMBER(AF152),Parámetros!$B$10,0)+IF(ISNUMBER(AG152),Parámetros!$B$11,0)))</f>
        <v/>
      </c>
      <c r="AJ152" s="47" t="n">
        <f aca="false">IF(AND(ISNUMBER(Y152),N(Y152)&lt;60),69.9,IF(OR(AND(ISNUMBER(AE152),N(AE152)&lt;80),AND(ISNUMBER(AC152),N(AC152)&lt;50,N(O152)&gt;=2)),84.9,100))</f>
        <v>100</v>
      </c>
      <c r="AK152" s="47" t="str">
        <f aca="false">IF(AI152="","",MIN(AI152,AJ152))</f>
        <v/>
      </c>
      <c r="AL152" s="47" t="str">
        <f aca="false">IF($C152="","",IF(AK152="","Gris — menos de 3 fuentes",IF(AND(AK152&lt;Parámetros!$B$14,N152&lt;&gt;"",N(N152)&lt;Parámetros!$B$15,N(Y152)&gt;=60),"Gris — repetir observación",IF(AK152&gt;=Parámetros!$B$13,"Verde",IF(AK152&gt;=Parámetros!$B$14,"Amarillo","Rojo")))))</f>
        <v/>
      </c>
      <c r="AM152" s="47" t="str">
        <f aca="false">IF($C152="","",IF(AND(ISNUMBER(Y152),N(Y152)&lt;60),"Ejecución &lt; 60 %: rojo automático",IF(AND(ISNUMBER(AE152),N(AE152)&lt;80),"PIAR &lt; 80 %: máximo amarillo",IF(AND(ISNUMBER(AC152),N(AC152)&lt;50,N(O152)&gt;=2),"Observación &lt; 50: máximo amarillo",IF(AND(N152&lt;&gt;"",N(N152)&lt;Parámetros!$B$15),"κ &lt; 0,60: observación descartada, repetir","")))))</f>
        <v/>
      </c>
    </row>
    <row r="153" customFormat="false" ht="15" hidden="false" customHeight="fals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7" t="str">
        <f aca="false">IF(N(E153)&gt;0,MIN(100,F153/E153*100),"")</f>
        <v/>
      </c>
      <c r="Y153" s="47" t="str">
        <f aca="false">IF(N(G153)&gt;0,MIN(100,H153/G153*100),"")</f>
        <v/>
      </c>
      <c r="Z153" s="47" t="str">
        <f aca="false">IF(N(I153)&gt;0,MIN(100,J153/I153*100),"")</f>
        <v/>
      </c>
      <c r="AA153" s="47" t="str">
        <f aca="false">IF(K153="","",K153/24*100)</f>
        <v/>
      </c>
      <c r="AB153" s="47" t="str">
        <f aca="false">IF(L153="","",L153/3*100)</f>
        <v/>
      </c>
      <c r="AC153" s="47" t="str">
        <f aca="false">IF(OR(M153="",AND(N153&lt;&gt;"",N(N153)&lt;Parámetros!$B$15)),"",MAX(0,MIN(100,(M153-1)/4*100)))</f>
        <v/>
      </c>
      <c r="AD153" s="47" t="str">
        <f aca="false">IF(OR(P153="",N(Q153)=0),"",MAX(0,MIN(100,((Q153/(Q153+Parámetros!$B$16))*P153+(Parámetros!$B$16/(Q153+Parámetros!$B$16))*Parámetros!$B$17-0.1)/0.4*100)))</f>
        <v/>
      </c>
      <c r="AE153" s="47" t="str">
        <f aca="false">IF(N(R153)&gt;0,MIN(100,S153/R153*100),"")</f>
        <v/>
      </c>
      <c r="AF153" s="47" t="str">
        <f aca="false">IF(N(U153)&gt;0,MIN(100,T153/(U153*5)*100),"")</f>
        <v/>
      </c>
      <c r="AG153" s="47" t="str">
        <f aca="false">IF(OR(V153="",N(W153)&lt;10),"",(V153-1)/4*100)</f>
        <v/>
      </c>
      <c r="AH153" s="47" t="str">
        <f aca="false">IF($C153="","",COUNT(X153:AG153))</f>
        <v/>
      </c>
      <c r="AI153" s="47" t="str">
        <f aca="false">IF(OR($C153="",N(AH153)&lt;Parámetros!$B$18),"",(IF(ISNUMBER(X153),X153*Parámetros!$B$2,0)+IF(ISNUMBER(Y153),Y153*Parámetros!$B$3,0)+IF(ISNUMBER(Z153),Z153*Parámetros!$B$4,0)+IF(ISNUMBER(AA153),AA153*Parámetros!$B$5,0)+IF(ISNUMBER(AB153),AB153*Parámetros!$B$6,0)+IF(ISNUMBER(AC153),AC153*Parámetros!$B$7,0)+IF(ISNUMBER(AD153),AD153*Parámetros!$B$8,0)+IF(ISNUMBER(AE153),AE153*Parámetros!$B$9,0)+IF(ISNUMBER(AF153),AF153*Parámetros!$B$10,0)+IF(ISNUMBER(AG153),AG153*Parámetros!$B$11,0))/(IF(ISNUMBER(X153),Parámetros!$B$2,0)+IF(ISNUMBER(Y153),Parámetros!$B$3,0)+IF(ISNUMBER(Z153),Parámetros!$B$4,0)+IF(ISNUMBER(AA153),Parámetros!$B$5,0)+IF(ISNUMBER(AB153),Parámetros!$B$6,0)+IF(ISNUMBER(AC153),Parámetros!$B$7,0)+IF(ISNUMBER(AD153),Parámetros!$B$8,0)+IF(ISNUMBER(AE153),Parámetros!$B$9,0)+IF(ISNUMBER(AF153),Parámetros!$B$10,0)+IF(ISNUMBER(AG153),Parámetros!$B$11,0)))</f>
        <v/>
      </c>
      <c r="AJ153" s="47" t="n">
        <f aca="false">IF(AND(ISNUMBER(Y153),N(Y153)&lt;60),69.9,IF(OR(AND(ISNUMBER(AE153),N(AE153)&lt;80),AND(ISNUMBER(AC153),N(AC153)&lt;50,N(O153)&gt;=2)),84.9,100))</f>
        <v>100</v>
      </c>
      <c r="AK153" s="47" t="str">
        <f aca="false">IF(AI153="","",MIN(AI153,AJ153))</f>
        <v/>
      </c>
      <c r="AL153" s="47" t="str">
        <f aca="false">IF($C153="","",IF(AK153="","Gris — menos de 3 fuentes",IF(AND(AK153&lt;Parámetros!$B$14,N153&lt;&gt;"",N(N153)&lt;Parámetros!$B$15,N(Y153)&gt;=60),"Gris — repetir observación",IF(AK153&gt;=Parámetros!$B$13,"Verde",IF(AK153&gt;=Parámetros!$B$14,"Amarillo","Rojo")))))</f>
        <v/>
      </c>
      <c r="AM153" s="47" t="str">
        <f aca="false">IF($C153="","",IF(AND(ISNUMBER(Y153),N(Y153)&lt;60),"Ejecución &lt; 60 %: rojo automático",IF(AND(ISNUMBER(AE153),N(AE153)&lt;80),"PIAR &lt; 80 %: máximo amarillo",IF(AND(ISNUMBER(AC153),N(AC153)&lt;50,N(O153)&gt;=2),"Observación &lt; 50: máximo amarillo",IF(AND(N153&lt;&gt;"",N(N153)&lt;Parámetros!$B$15),"κ &lt; 0,60: observación descartada, repetir","")))))</f>
        <v/>
      </c>
    </row>
    <row r="154" customFormat="false" ht="15" hidden="false" customHeight="fals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7" t="str">
        <f aca="false">IF(N(E154)&gt;0,MIN(100,F154/E154*100),"")</f>
        <v/>
      </c>
      <c r="Y154" s="47" t="str">
        <f aca="false">IF(N(G154)&gt;0,MIN(100,H154/G154*100),"")</f>
        <v/>
      </c>
      <c r="Z154" s="47" t="str">
        <f aca="false">IF(N(I154)&gt;0,MIN(100,J154/I154*100),"")</f>
        <v/>
      </c>
      <c r="AA154" s="47" t="str">
        <f aca="false">IF(K154="","",K154/24*100)</f>
        <v/>
      </c>
      <c r="AB154" s="47" t="str">
        <f aca="false">IF(L154="","",L154/3*100)</f>
        <v/>
      </c>
      <c r="AC154" s="47" t="str">
        <f aca="false">IF(OR(M154="",AND(N154&lt;&gt;"",N(N154)&lt;Parámetros!$B$15)),"",MAX(0,MIN(100,(M154-1)/4*100)))</f>
        <v/>
      </c>
      <c r="AD154" s="47" t="str">
        <f aca="false">IF(OR(P154="",N(Q154)=0),"",MAX(0,MIN(100,((Q154/(Q154+Parámetros!$B$16))*P154+(Parámetros!$B$16/(Q154+Parámetros!$B$16))*Parámetros!$B$17-0.1)/0.4*100)))</f>
        <v/>
      </c>
      <c r="AE154" s="47" t="str">
        <f aca="false">IF(N(R154)&gt;0,MIN(100,S154/R154*100),"")</f>
        <v/>
      </c>
      <c r="AF154" s="47" t="str">
        <f aca="false">IF(N(U154)&gt;0,MIN(100,T154/(U154*5)*100),"")</f>
        <v/>
      </c>
      <c r="AG154" s="47" t="str">
        <f aca="false">IF(OR(V154="",N(W154)&lt;10),"",(V154-1)/4*100)</f>
        <v/>
      </c>
      <c r="AH154" s="47" t="str">
        <f aca="false">IF($C154="","",COUNT(X154:AG154))</f>
        <v/>
      </c>
      <c r="AI154" s="47" t="str">
        <f aca="false">IF(OR($C154="",N(AH154)&lt;Parámetros!$B$18),"",(IF(ISNUMBER(X154),X154*Parámetros!$B$2,0)+IF(ISNUMBER(Y154),Y154*Parámetros!$B$3,0)+IF(ISNUMBER(Z154),Z154*Parámetros!$B$4,0)+IF(ISNUMBER(AA154),AA154*Parámetros!$B$5,0)+IF(ISNUMBER(AB154),AB154*Parámetros!$B$6,0)+IF(ISNUMBER(AC154),AC154*Parámetros!$B$7,0)+IF(ISNUMBER(AD154),AD154*Parámetros!$B$8,0)+IF(ISNUMBER(AE154),AE154*Parámetros!$B$9,0)+IF(ISNUMBER(AF154),AF154*Parámetros!$B$10,0)+IF(ISNUMBER(AG154),AG154*Parámetros!$B$11,0))/(IF(ISNUMBER(X154),Parámetros!$B$2,0)+IF(ISNUMBER(Y154),Parámetros!$B$3,0)+IF(ISNUMBER(Z154),Parámetros!$B$4,0)+IF(ISNUMBER(AA154),Parámetros!$B$5,0)+IF(ISNUMBER(AB154),Parámetros!$B$6,0)+IF(ISNUMBER(AC154),Parámetros!$B$7,0)+IF(ISNUMBER(AD154),Parámetros!$B$8,0)+IF(ISNUMBER(AE154),Parámetros!$B$9,0)+IF(ISNUMBER(AF154),Parámetros!$B$10,0)+IF(ISNUMBER(AG154),Parámetros!$B$11,0)))</f>
        <v/>
      </c>
      <c r="AJ154" s="47" t="n">
        <f aca="false">IF(AND(ISNUMBER(Y154),N(Y154)&lt;60),69.9,IF(OR(AND(ISNUMBER(AE154),N(AE154)&lt;80),AND(ISNUMBER(AC154),N(AC154)&lt;50,N(O154)&gt;=2)),84.9,100))</f>
        <v>100</v>
      </c>
      <c r="AK154" s="47" t="str">
        <f aca="false">IF(AI154="","",MIN(AI154,AJ154))</f>
        <v/>
      </c>
      <c r="AL154" s="47" t="str">
        <f aca="false">IF($C154="","",IF(AK154="","Gris — menos de 3 fuentes",IF(AND(AK154&lt;Parámetros!$B$14,N154&lt;&gt;"",N(N154)&lt;Parámetros!$B$15,N(Y154)&gt;=60),"Gris — repetir observación",IF(AK154&gt;=Parámetros!$B$13,"Verde",IF(AK154&gt;=Parámetros!$B$14,"Amarillo","Rojo")))))</f>
        <v/>
      </c>
      <c r="AM154" s="47" t="str">
        <f aca="false">IF($C154="","",IF(AND(ISNUMBER(Y154),N(Y154)&lt;60),"Ejecución &lt; 60 %: rojo automático",IF(AND(ISNUMBER(AE154),N(AE154)&lt;80),"PIAR &lt; 80 %: máximo amarillo",IF(AND(ISNUMBER(AC154),N(AC154)&lt;50,N(O154)&gt;=2),"Observación &lt; 50: máximo amarillo",IF(AND(N154&lt;&gt;"",N(N154)&lt;Parámetros!$B$15),"κ &lt; 0,60: observación descartada, repetir","")))))</f>
        <v/>
      </c>
    </row>
    <row r="155" customFormat="false" ht="15" hidden="false" customHeight="fals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7" t="str">
        <f aca="false">IF(N(E155)&gt;0,MIN(100,F155/E155*100),"")</f>
        <v/>
      </c>
      <c r="Y155" s="47" t="str">
        <f aca="false">IF(N(G155)&gt;0,MIN(100,H155/G155*100),"")</f>
        <v/>
      </c>
      <c r="Z155" s="47" t="str">
        <f aca="false">IF(N(I155)&gt;0,MIN(100,J155/I155*100),"")</f>
        <v/>
      </c>
      <c r="AA155" s="47" t="str">
        <f aca="false">IF(K155="","",K155/24*100)</f>
        <v/>
      </c>
      <c r="AB155" s="47" t="str">
        <f aca="false">IF(L155="","",L155/3*100)</f>
        <v/>
      </c>
      <c r="AC155" s="47" t="str">
        <f aca="false">IF(OR(M155="",AND(N155&lt;&gt;"",N(N155)&lt;Parámetros!$B$15)),"",MAX(0,MIN(100,(M155-1)/4*100)))</f>
        <v/>
      </c>
      <c r="AD155" s="47" t="str">
        <f aca="false">IF(OR(P155="",N(Q155)=0),"",MAX(0,MIN(100,((Q155/(Q155+Parámetros!$B$16))*P155+(Parámetros!$B$16/(Q155+Parámetros!$B$16))*Parámetros!$B$17-0.1)/0.4*100)))</f>
        <v/>
      </c>
      <c r="AE155" s="47" t="str">
        <f aca="false">IF(N(R155)&gt;0,MIN(100,S155/R155*100),"")</f>
        <v/>
      </c>
      <c r="AF155" s="47" t="str">
        <f aca="false">IF(N(U155)&gt;0,MIN(100,T155/(U155*5)*100),"")</f>
        <v/>
      </c>
      <c r="AG155" s="47" t="str">
        <f aca="false">IF(OR(V155="",N(W155)&lt;10),"",(V155-1)/4*100)</f>
        <v/>
      </c>
      <c r="AH155" s="47" t="str">
        <f aca="false">IF($C155="","",COUNT(X155:AG155))</f>
        <v/>
      </c>
      <c r="AI155" s="47" t="str">
        <f aca="false">IF(OR($C155="",N(AH155)&lt;Parámetros!$B$18),"",(IF(ISNUMBER(X155),X155*Parámetros!$B$2,0)+IF(ISNUMBER(Y155),Y155*Parámetros!$B$3,0)+IF(ISNUMBER(Z155),Z155*Parámetros!$B$4,0)+IF(ISNUMBER(AA155),AA155*Parámetros!$B$5,0)+IF(ISNUMBER(AB155),AB155*Parámetros!$B$6,0)+IF(ISNUMBER(AC155),AC155*Parámetros!$B$7,0)+IF(ISNUMBER(AD155),AD155*Parámetros!$B$8,0)+IF(ISNUMBER(AE155),AE155*Parámetros!$B$9,0)+IF(ISNUMBER(AF155),AF155*Parámetros!$B$10,0)+IF(ISNUMBER(AG155),AG155*Parámetros!$B$11,0))/(IF(ISNUMBER(X155),Parámetros!$B$2,0)+IF(ISNUMBER(Y155),Parámetros!$B$3,0)+IF(ISNUMBER(Z155),Parámetros!$B$4,0)+IF(ISNUMBER(AA155),Parámetros!$B$5,0)+IF(ISNUMBER(AB155),Parámetros!$B$6,0)+IF(ISNUMBER(AC155),Parámetros!$B$7,0)+IF(ISNUMBER(AD155),Parámetros!$B$8,0)+IF(ISNUMBER(AE155),Parámetros!$B$9,0)+IF(ISNUMBER(AF155),Parámetros!$B$10,0)+IF(ISNUMBER(AG155),Parámetros!$B$11,0)))</f>
        <v/>
      </c>
      <c r="AJ155" s="47" t="n">
        <f aca="false">IF(AND(ISNUMBER(Y155),N(Y155)&lt;60),69.9,IF(OR(AND(ISNUMBER(AE155),N(AE155)&lt;80),AND(ISNUMBER(AC155),N(AC155)&lt;50,N(O155)&gt;=2)),84.9,100))</f>
        <v>100</v>
      </c>
      <c r="AK155" s="47" t="str">
        <f aca="false">IF(AI155="","",MIN(AI155,AJ155))</f>
        <v/>
      </c>
      <c r="AL155" s="47" t="str">
        <f aca="false">IF($C155="","",IF(AK155="","Gris — menos de 3 fuentes",IF(AND(AK155&lt;Parámetros!$B$14,N155&lt;&gt;"",N(N155)&lt;Parámetros!$B$15,N(Y155)&gt;=60),"Gris — repetir observación",IF(AK155&gt;=Parámetros!$B$13,"Verde",IF(AK155&gt;=Parámetros!$B$14,"Amarillo","Rojo")))))</f>
        <v/>
      </c>
      <c r="AM155" s="47" t="str">
        <f aca="false">IF($C155="","",IF(AND(ISNUMBER(Y155),N(Y155)&lt;60),"Ejecución &lt; 60 %: rojo automático",IF(AND(ISNUMBER(AE155),N(AE155)&lt;80),"PIAR &lt; 80 %: máximo amarillo",IF(AND(ISNUMBER(AC155),N(AC155)&lt;50,N(O155)&gt;=2),"Observación &lt; 50: máximo amarillo",IF(AND(N155&lt;&gt;"",N(N155)&lt;Parámetros!$B$15),"κ &lt; 0,60: observación descartada, repetir","")))))</f>
        <v/>
      </c>
    </row>
    <row r="156" customFormat="false" ht="15" hidden="false" customHeight="fals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7" t="str">
        <f aca="false">IF(N(E156)&gt;0,MIN(100,F156/E156*100),"")</f>
        <v/>
      </c>
      <c r="Y156" s="47" t="str">
        <f aca="false">IF(N(G156)&gt;0,MIN(100,H156/G156*100),"")</f>
        <v/>
      </c>
      <c r="Z156" s="47" t="str">
        <f aca="false">IF(N(I156)&gt;0,MIN(100,J156/I156*100),"")</f>
        <v/>
      </c>
      <c r="AA156" s="47" t="str">
        <f aca="false">IF(K156="","",K156/24*100)</f>
        <v/>
      </c>
      <c r="AB156" s="47" t="str">
        <f aca="false">IF(L156="","",L156/3*100)</f>
        <v/>
      </c>
      <c r="AC156" s="47" t="str">
        <f aca="false">IF(OR(M156="",AND(N156&lt;&gt;"",N(N156)&lt;Parámetros!$B$15)),"",MAX(0,MIN(100,(M156-1)/4*100)))</f>
        <v/>
      </c>
      <c r="AD156" s="47" t="str">
        <f aca="false">IF(OR(P156="",N(Q156)=0),"",MAX(0,MIN(100,((Q156/(Q156+Parámetros!$B$16))*P156+(Parámetros!$B$16/(Q156+Parámetros!$B$16))*Parámetros!$B$17-0.1)/0.4*100)))</f>
        <v/>
      </c>
      <c r="AE156" s="47" t="str">
        <f aca="false">IF(N(R156)&gt;0,MIN(100,S156/R156*100),"")</f>
        <v/>
      </c>
      <c r="AF156" s="47" t="str">
        <f aca="false">IF(N(U156)&gt;0,MIN(100,T156/(U156*5)*100),"")</f>
        <v/>
      </c>
      <c r="AG156" s="47" t="str">
        <f aca="false">IF(OR(V156="",N(W156)&lt;10),"",(V156-1)/4*100)</f>
        <v/>
      </c>
      <c r="AH156" s="47" t="str">
        <f aca="false">IF($C156="","",COUNT(X156:AG156))</f>
        <v/>
      </c>
      <c r="AI156" s="47" t="str">
        <f aca="false">IF(OR($C156="",N(AH156)&lt;Parámetros!$B$18),"",(IF(ISNUMBER(X156),X156*Parámetros!$B$2,0)+IF(ISNUMBER(Y156),Y156*Parámetros!$B$3,0)+IF(ISNUMBER(Z156),Z156*Parámetros!$B$4,0)+IF(ISNUMBER(AA156),AA156*Parámetros!$B$5,0)+IF(ISNUMBER(AB156),AB156*Parámetros!$B$6,0)+IF(ISNUMBER(AC156),AC156*Parámetros!$B$7,0)+IF(ISNUMBER(AD156),AD156*Parámetros!$B$8,0)+IF(ISNUMBER(AE156),AE156*Parámetros!$B$9,0)+IF(ISNUMBER(AF156),AF156*Parámetros!$B$10,0)+IF(ISNUMBER(AG156),AG156*Parámetros!$B$11,0))/(IF(ISNUMBER(X156),Parámetros!$B$2,0)+IF(ISNUMBER(Y156),Parámetros!$B$3,0)+IF(ISNUMBER(Z156),Parámetros!$B$4,0)+IF(ISNUMBER(AA156),Parámetros!$B$5,0)+IF(ISNUMBER(AB156),Parámetros!$B$6,0)+IF(ISNUMBER(AC156),Parámetros!$B$7,0)+IF(ISNUMBER(AD156),Parámetros!$B$8,0)+IF(ISNUMBER(AE156),Parámetros!$B$9,0)+IF(ISNUMBER(AF156),Parámetros!$B$10,0)+IF(ISNUMBER(AG156),Parámetros!$B$11,0)))</f>
        <v/>
      </c>
      <c r="AJ156" s="47" t="n">
        <f aca="false">IF(AND(ISNUMBER(Y156),N(Y156)&lt;60),69.9,IF(OR(AND(ISNUMBER(AE156),N(AE156)&lt;80),AND(ISNUMBER(AC156),N(AC156)&lt;50,N(O156)&gt;=2)),84.9,100))</f>
        <v>100</v>
      </c>
      <c r="AK156" s="47" t="str">
        <f aca="false">IF(AI156="","",MIN(AI156,AJ156))</f>
        <v/>
      </c>
      <c r="AL156" s="47" t="str">
        <f aca="false">IF($C156="","",IF(AK156="","Gris — menos de 3 fuentes",IF(AND(AK156&lt;Parámetros!$B$14,N156&lt;&gt;"",N(N156)&lt;Parámetros!$B$15,N(Y156)&gt;=60),"Gris — repetir observación",IF(AK156&gt;=Parámetros!$B$13,"Verde",IF(AK156&gt;=Parámetros!$B$14,"Amarillo","Rojo")))))</f>
        <v/>
      </c>
      <c r="AM156" s="47" t="str">
        <f aca="false">IF($C156="","",IF(AND(ISNUMBER(Y156),N(Y156)&lt;60),"Ejecución &lt; 60 %: rojo automático",IF(AND(ISNUMBER(AE156),N(AE156)&lt;80),"PIAR &lt; 80 %: máximo amarillo",IF(AND(ISNUMBER(AC156),N(AC156)&lt;50,N(O156)&gt;=2),"Observación &lt; 50: máximo amarillo",IF(AND(N156&lt;&gt;"",N(N156)&lt;Parámetros!$B$15),"κ &lt; 0,60: observación descartada, repetir","")))))</f>
        <v/>
      </c>
    </row>
    <row r="157" customFormat="false" ht="15" hidden="false" customHeight="fals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7" t="str">
        <f aca="false">IF(N(E157)&gt;0,MIN(100,F157/E157*100),"")</f>
        <v/>
      </c>
      <c r="Y157" s="47" t="str">
        <f aca="false">IF(N(G157)&gt;0,MIN(100,H157/G157*100),"")</f>
        <v/>
      </c>
      <c r="Z157" s="47" t="str">
        <f aca="false">IF(N(I157)&gt;0,MIN(100,J157/I157*100),"")</f>
        <v/>
      </c>
      <c r="AA157" s="47" t="str">
        <f aca="false">IF(K157="","",K157/24*100)</f>
        <v/>
      </c>
      <c r="AB157" s="47" t="str">
        <f aca="false">IF(L157="","",L157/3*100)</f>
        <v/>
      </c>
      <c r="AC157" s="47" t="str">
        <f aca="false">IF(OR(M157="",AND(N157&lt;&gt;"",N(N157)&lt;Parámetros!$B$15)),"",MAX(0,MIN(100,(M157-1)/4*100)))</f>
        <v/>
      </c>
      <c r="AD157" s="47" t="str">
        <f aca="false">IF(OR(P157="",N(Q157)=0),"",MAX(0,MIN(100,((Q157/(Q157+Parámetros!$B$16))*P157+(Parámetros!$B$16/(Q157+Parámetros!$B$16))*Parámetros!$B$17-0.1)/0.4*100)))</f>
        <v/>
      </c>
      <c r="AE157" s="47" t="str">
        <f aca="false">IF(N(R157)&gt;0,MIN(100,S157/R157*100),"")</f>
        <v/>
      </c>
      <c r="AF157" s="47" t="str">
        <f aca="false">IF(N(U157)&gt;0,MIN(100,T157/(U157*5)*100),"")</f>
        <v/>
      </c>
      <c r="AG157" s="47" t="str">
        <f aca="false">IF(OR(V157="",N(W157)&lt;10),"",(V157-1)/4*100)</f>
        <v/>
      </c>
      <c r="AH157" s="47" t="str">
        <f aca="false">IF($C157="","",COUNT(X157:AG157))</f>
        <v/>
      </c>
      <c r="AI157" s="47" t="str">
        <f aca="false">IF(OR($C157="",N(AH157)&lt;Parámetros!$B$18),"",(IF(ISNUMBER(X157),X157*Parámetros!$B$2,0)+IF(ISNUMBER(Y157),Y157*Parámetros!$B$3,0)+IF(ISNUMBER(Z157),Z157*Parámetros!$B$4,0)+IF(ISNUMBER(AA157),AA157*Parámetros!$B$5,0)+IF(ISNUMBER(AB157),AB157*Parámetros!$B$6,0)+IF(ISNUMBER(AC157),AC157*Parámetros!$B$7,0)+IF(ISNUMBER(AD157),AD157*Parámetros!$B$8,0)+IF(ISNUMBER(AE157),AE157*Parámetros!$B$9,0)+IF(ISNUMBER(AF157),AF157*Parámetros!$B$10,0)+IF(ISNUMBER(AG157),AG157*Parámetros!$B$11,0))/(IF(ISNUMBER(X157),Parámetros!$B$2,0)+IF(ISNUMBER(Y157),Parámetros!$B$3,0)+IF(ISNUMBER(Z157),Parámetros!$B$4,0)+IF(ISNUMBER(AA157),Parámetros!$B$5,0)+IF(ISNUMBER(AB157),Parámetros!$B$6,0)+IF(ISNUMBER(AC157),Parámetros!$B$7,0)+IF(ISNUMBER(AD157),Parámetros!$B$8,0)+IF(ISNUMBER(AE157),Parámetros!$B$9,0)+IF(ISNUMBER(AF157),Parámetros!$B$10,0)+IF(ISNUMBER(AG157),Parámetros!$B$11,0)))</f>
        <v/>
      </c>
      <c r="AJ157" s="47" t="n">
        <f aca="false">IF(AND(ISNUMBER(Y157),N(Y157)&lt;60),69.9,IF(OR(AND(ISNUMBER(AE157),N(AE157)&lt;80),AND(ISNUMBER(AC157),N(AC157)&lt;50,N(O157)&gt;=2)),84.9,100))</f>
        <v>100</v>
      </c>
      <c r="AK157" s="47" t="str">
        <f aca="false">IF(AI157="","",MIN(AI157,AJ157))</f>
        <v/>
      </c>
      <c r="AL157" s="47" t="str">
        <f aca="false">IF($C157="","",IF(AK157="","Gris — menos de 3 fuentes",IF(AND(AK157&lt;Parámetros!$B$14,N157&lt;&gt;"",N(N157)&lt;Parámetros!$B$15,N(Y157)&gt;=60),"Gris — repetir observación",IF(AK157&gt;=Parámetros!$B$13,"Verde",IF(AK157&gt;=Parámetros!$B$14,"Amarillo","Rojo")))))</f>
        <v/>
      </c>
      <c r="AM157" s="47" t="str">
        <f aca="false">IF($C157="","",IF(AND(ISNUMBER(Y157),N(Y157)&lt;60),"Ejecución &lt; 60 %: rojo automático",IF(AND(ISNUMBER(AE157),N(AE157)&lt;80),"PIAR &lt; 80 %: máximo amarillo",IF(AND(ISNUMBER(AC157),N(AC157)&lt;50,N(O157)&gt;=2),"Observación &lt; 50: máximo amarillo",IF(AND(N157&lt;&gt;"",N(N157)&lt;Parámetros!$B$15),"κ &lt; 0,60: observación descartada, repetir","")))))</f>
        <v/>
      </c>
    </row>
    <row r="158" customFormat="false" ht="15" hidden="false" customHeight="fals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7" t="str">
        <f aca="false">IF(N(E158)&gt;0,MIN(100,F158/E158*100),"")</f>
        <v/>
      </c>
      <c r="Y158" s="47" t="str">
        <f aca="false">IF(N(G158)&gt;0,MIN(100,H158/G158*100),"")</f>
        <v/>
      </c>
      <c r="Z158" s="47" t="str">
        <f aca="false">IF(N(I158)&gt;0,MIN(100,J158/I158*100),"")</f>
        <v/>
      </c>
      <c r="AA158" s="47" t="str">
        <f aca="false">IF(K158="","",K158/24*100)</f>
        <v/>
      </c>
      <c r="AB158" s="47" t="str">
        <f aca="false">IF(L158="","",L158/3*100)</f>
        <v/>
      </c>
      <c r="AC158" s="47" t="str">
        <f aca="false">IF(OR(M158="",AND(N158&lt;&gt;"",N(N158)&lt;Parámetros!$B$15)),"",MAX(0,MIN(100,(M158-1)/4*100)))</f>
        <v/>
      </c>
      <c r="AD158" s="47" t="str">
        <f aca="false">IF(OR(P158="",N(Q158)=0),"",MAX(0,MIN(100,((Q158/(Q158+Parámetros!$B$16))*P158+(Parámetros!$B$16/(Q158+Parámetros!$B$16))*Parámetros!$B$17-0.1)/0.4*100)))</f>
        <v/>
      </c>
      <c r="AE158" s="47" t="str">
        <f aca="false">IF(N(R158)&gt;0,MIN(100,S158/R158*100),"")</f>
        <v/>
      </c>
      <c r="AF158" s="47" t="str">
        <f aca="false">IF(N(U158)&gt;0,MIN(100,T158/(U158*5)*100),"")</f>
        <v/>
      </c>
      <c r="AG158" s="47" t="str">
        <f aca="false">IF(OR(V158="",N(W158)&lt;10),"",(V158-1)/4*100)</f>
        <v/>
      </c>
      <c r="AH158" s="47" t="str">
        <f aca="false">IF($C158="","",COUNT(X158:AG158))</f>
        <v/>
      </c>
      <c r="AI158" s="47" t="str">
        <f aca="false">IF(OR($C158="",N(AH158)&lt;Parámetros!$B$18),"",(IF(ISNUMBER(X158),X158*Parámetros!$B$2,0)+IF(ISNUMBER(Y158),Y158*Parámetros!$B$3,0)+IF(ISNUMBER(Z158),Z158*Parámetros!$B$4,0)+IF(ISNUMBER(AA158),AA158*Parámetros!$B$5,0)+IF(ISNUMBER(AB158),AB158*Parámetros!$B$6,0)+IF(ISNUMBER(AC158),AC158*Parámetros!$B$7,0)+IF(ISNUMBER(AD158),AD158*Parámetros!$B$8,0)+IF(ISNUMBER(AE158),AE158*Parámetros!$B$9,0)+IF(ISNUMBER(AF158),AF158*Parámetros!$B$10,0)+IF(ISNUMBER(AG158),AG158*Parámetros!$B$11,0))/(IF(ISNUMBER(X158),Parámetros!$B$2,0)+IF(ISNUMBER(Y158),Parámetros!$B$3,0)+IF(ISNUMBER(Z158),Parámetros!$B$4,0)+IF(ISNUMBER(AA158),Parámetros!$B$5,0)+IF(ISNUMBER(AB158),Parámetros!$B$6,0)+IF(ISNUMBER(AC158),Parámetros!$B$7,0)+IF(ISNUMBER(AD158),Parámetros!$B$8,0)+IF(ISNUMBER(AE158),Parámetros!$B$9,0)+IF(ISNUMBER(AF158),Parámetros!$B$10,0)+IF(ISNUMBER(AG158),Parámetros!$B$11,0)))</f>
        <v/>
      </c>
      <c r="AJ158" s="47" t="n">
        <f aca="false">IF(AND(ISNUMBER(Y158),N(Y158)&lt;60),69.9,IF(OR(AND(ISNUMBER(AE158),N(AE158)&lt;80),AND(ISNUMBER(AC158),N(AC158)&lt;50,N(O158)&gt;=2)),84.9,100))</f>
        <v>100</v>
      </c>
      <c r="AK158" s="47" t="str">
        <f aca="false">IF(AI158="","",MIN(AI158,AJ158))</f>
        <v/>
      </c>
      <c r="AL158" s="47" t="str">
        <f aca="false">IF($C158="","",IF(AK158="","Gris — menos de 3 fuentes",IF(AND(AK158&lt;Parámetros!$B$14,N158&lt;&gt;"",N(N158)&lt;Parámetros!$B$15,N(Y158)&gt;=60),"Gris — repetir observación",IF(AK158&gt;=Parámetros!$B$13,"Verde",IF(AK158&gt;=Parámetros!$B$14,"Amarillo","Rojo")))))</f>
        <v/>
      </c>
      <c r="AM158" s="47" t="str">
        <f aca="false">IF($C158="","",IF(AND(ISNUMBER(Y158),N(Y158)&lt;60),"Ejecución &lt; 60 %: rojo automático",IF(AND(ISNUMBER(AE158),N(AE158)&lt;80),"PIAR &lt; 80 %: máximo amarillo",IF(AND(ISNUMBER(AC158),N(AC158)&lt;50,N(O158)&gt;=2),"Observación &lt; 50: máximo amarillo",IF(AND(N158&lt;&gt;"",N(N158)&lt;Parámetros!$B$15),"κ &lt; 0,60: observación descartada, repetir","")))))</f>
        <v/>
      </c>
    </row>
    <row r="159" customFormat="false" ht="15" hidden="false" customHeight="fals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7" t="str">
        <f aca="false">IF(N(E159)&gt;0,MIN(100,F159/E159*100),"")</f>
        <v/>
      </c>
      <c r="Y159" s="47" t="str">
        <f aca="false">IF(N(G159)&gt;0,MIN(100,H159/G159*100),"")</f>
        <v/>
      </c>
      <c r="Z159" s="47" t="str">
        <f aca="false">IF(N(I159)&gt;0,MIN(100,J159/I159*100),"")</f>
        <v/>
      </c>
      <c r="AA159" s="47" t="str">
        <f aca="false">IF(K159="","",K159/24*100)</f>
        <v/>
      </c>
      <c r="AB159" s="47" t="str">
        <f aca="false">IF(L159="","",L159/3*100)</f>
        <v/>
      </c>
      <c r="AC159" s="47" t="str">
        <f aca="false">IF(OR(M159="",AND(N159&lt;&gt;"",N(N159)&lt;Parámetros!$B$15)),"",MAX(0,MIN(100,(M159-1)/4*100)))</f>
        <v/>
      </c>
      <c r="AD159" s="47" t="str">
        <f aca="false">IF(OR(P159="",N(Q159)=0),"",MAX(0,MIN(100,((Q159/(Q159+Parámetros!$B$16))*P159+(Parámetros!$B$16/(Q159+Parámetros!$B$16))*Parámetros!$B$17-0.1)/0.4*100)))</f>
        <v/>
      </c>
      <c r="AE159" s="47" t="str">
        <f aca="false">IF(N(R159)&gt;0,MIN(100,S159/R159*100),"")</f>
        <v/>
      </c>
      <c r="AF159" s="47" t="str">
        <f aca="false">IF(N(U159)&gt;0,MIN(100,T159/(U159*5)*100),"")</f>
        <v/>
      </c>
      <c r="AG159" s="47" t="str">
        <f aca="false">IF(OR(V159="",N(W159)&lt;10),"",(V159-1)/4*100)</f>
        <v/>
      </c>
      <c r="AH159" s="47" t="str">
        <f aca="false">IF($C159="","",COUNT(X159:AG159))</f>
        <v/>
      </c>
      <c r="AI159" s="47" t="str">
        <f aca="false">IF(OR($C159="",N(AH159)&lt;Parámetros!$B$18),"",(IF(ISNUMBER(X159),X159*Parámetros!$B$2,0)+IF(ISNUMBER(Y159),Y159*Parámetros!$B$3,0)+IF(ISNUMBER(Z159),Z159*Parámetros!$B$4,0)+IF(ISNUMBER(AA159),AA159*Parámetros!$B$5,0)+IF(ISNUMBER(AB159),AB159*Parámetros!$B$6,0)+IF(ISNUMBER(AC159),AC159*Parámetros!$B$7,0)+IF(ISNUMBER(AD159),AD159*Parámetros!$B$8,0)+IF(ISNUMBER(AE159),AE159*Parámetros!$B$9,0)+IF(ISNUMBER(AF159),AF159*Parámetros!$B$10,0)+IF(ISNUMBER(AG159),AG159*Parámetros!$B$11,0))/(IF(ISNUMBER(X159),Parámetros!$B$2,0)+IF(ISNUMBER(Y159),Parámetros!$B$3,0)+IF(ISNUMBER(Z159),Parámetros!$B$4,0)+IF(ISNUMBER(AA159),Parámetros!$B$5,0)+IF(ISNUMBER(AB159),Parámetros!$B$6,0)+IF(ISNUMBER(AC159),Parámetros!$B$7,0)+IF(ISNUMBER(AD159),Parámetros!$B$8,0)+IF(ISNUMBER(AE159),Parámetros!$B$9,0)+IF(ISNUMBER(AF159),Parámetros!$B$10,0)+IF(ISNUMBER(AG159),Parámetros!$B$11,0)))</f>
        <v/>
      </c>
      <c r="AJ159" s="47" t="n">
        <f aca="false">IF(AND(ISNUMBER(Y159),N(Y159)&lt;60),69.9,IF(OR(AND(ISNUMBER(AE159),N(AE159)&lt;80),AND(ISNUMBER(AC159),N(AC159)&lt;50,N(O159)&gt;=2)),84.9,100))</f>
        <v>100</v>
      </c>
      <c r="AK159" s="47" t="str">
        <f aca="false">IF(AI159="","",MIN(AI159,AJ159))</f>
        <v/>
      </c>
      <c r="AL159" s="47" t="str">
        <f aca="false">IF($C159="","",IF(AK159="","Gris — menos de 3 fuentes",IF(AND(AK159&lt;Parámetros!$B$14,N159&lt;&gt;"",N(N159)&lt;Parámetros!$B$15,N(Y159)&gt;=60),"Gris — repetir observación",IF(AK159&gt;=Parámetros!$B$13,"Verde",IF(AK159&gt;=Parámetros!$B$14,"Amarillo","Rojo")))))</f>
        <v/>
      </c>
      <c r="AM159" s="47" t="str">
        <f aca="false">IF($C159="","",IF(AND(ISNUMBER(Y159),N(Y159)&lt;60),"Ejecución &lt; 60 %: rojo automático",IF(AND(ISNUMBER(AE159),N(AE159)&lt;80),"PIAR &lt; 80 %: máximo amarillo",IF(AND(ISNUMBER(AC159),N(AC159)&lt;50,N(O159)&gt;=2),"Observación &lt; 50: máximo amarillo",IF(AND(N159&lt;&gt;"",N(N159)&lt;Parámetros!$B$15),"κ &lt; 0,60: observación descartada, repetir","")))))</f>
        <v/>
      </c>
    </row>
    <row r="160" customFormat="false" ht="15" hidden="false" customHeight="fals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7" t="str">
        <f aca="false">IF(N(E160)&gt;0,MIN(100,F160/E160*100),"")</f>
        <v/>
      </c>
      <c r="Y160" s="47" t="str">
        <f aca="false">IF(N(G160)&gt;0,MIN(100,H160/G160*100),"")</f>
        <v/>
      </c>
      <c r="Z160" s="47" t="str">
        <f aca="false">IF(N(I160)&gt;0,MIN(100,J160/I160*100),"")</f>
        <v/>
      </c>
      <c r="AA160" s="47" t="str">
        <f aca="false">IF(K160="","",K160/24*100)</f>
        <v/>
      </c>
      <c r="AB160" s="47" t="str">
        <f aca="false">IF(L160="","",L160/3*100)</f>
        <v/>
      </c>
      <c r="AC160" s="47" t="str">
        <f aca="false">IF(OR(M160="",AND(N160&lt;&gt;"",N(N160)&lt;Parámetros!$B$15)),"",MAX(0,MIN(100,(M160-1)/4*100)))</f>
        <v/>
      </c>
      <c r="AD160" s="47" t="str">
        <f aca="false">IF(OR(P160="",N(Q160)=0),"",MAX(0,MIN(100,((Q160/(Q160+Parámetros!$B$16))*P160+(Parámetros!$B$16/(Q160+Parámetros!$B$16))*Parámetros!$B$17-0.1)/0.4*100)))</f>
        <v/>
      </c>
      <c r="AE160" s="47" t="str">
        <f aca="false">IF(N(R160)&gt;0,MIN(100,S160/R160*100),"")</f>
        <v/>
      </c>
      <c r="AF160" s="47" t="str">
        <f aca="false">IF(N(U160)&gt;0,MIN(100,T160/(U160*5)*100),"")</f>
        <v/>
      </c>
      <c r="AG160" s="47" t="str">
        <f aca="false">IF(OR(V160="",N(W160)&lt;10),"",(V160-1)/4*100)</f>
        <v/>
      </c>
      <c r="AH160" s="47" t="str">
        <f aca="false">IF($C160="","",COUNT(X160:AG160))</f>
        <v/>
      </c>
      <c r="AI160" s="47" t="str">
        <f aca="false">IF(OR($C160="",N(AH160)&lt;Parámetros!$B$18),"",(IF(ISNUMBER(X160),X160*Parámetros!$B$2,0)+IF(ISNUMBER(Y160),Y160*Parámetros!$B$3,0)+IF(ISNUMBER(Z160),Z160*Parámetros!$B$4,0)+IF(ISNUMBER(AA160),AA160*Parámetros!$B$5,0)+IF(ISNUMBER(AB160),AB160*Parámetros!$B$6,0)+IF(ISNUMBER(AC160),AC160*Parámetros!$B$7,0)+IF(ISNUMBER(AD160),AD160*Parámetros!$B$8,0)+IF(ISNUMBER(AE160),AE160*Parámetros!$B$9,0)+IF(ISNUMBER(AF160),AF160*Parámetros!$B$10,0)+IF(ISNUMBER(AG160),AG160*Parámetros!$B$11,0))/(IF(ISNUMBER(X160),Parámetros!$B$2,0)+IF(ISNUMBER(Y160),Parámetros!$B$3,0)+IF(ISNUMBER(Z160),Parámetros!$B$4,0)+IF(ISNUMBER(AA160),Parámetros!$B$5,0)+IF(ISNUMBER(AB160),Parámetros!$B$6,0)+IF(ISNUMBER(AC160),Parámetros!$B$7,0)+IF(ISNUMBER(AD160),Parámetros!$B$8,0)+IF(ISNUMBER(AE160),Parámetros!$B$9,0)+IF(ISNUMBER(AF160),Parámetros!$B$10,0)+IF(ISNUMBER(AG160),Parámetros!$B$11,0)))</f>
        <v/>
      </c>
      <c r="AJ160" s="47" t="n">
        <f aca="false">IF(AND(ISNUMBER(Y160),N(Y160)&lt;60),69.9,IF(OR(AND(ISNUMBER(AE160),N(AE160)&lt;80),AND(ISNUMBER(AC160),N(AC160)&lt;50,N(O160)&gt;=2)),84.9,100))</f>
        <v>100</v>
      </c>
      <c r="AK160" s="47" t="str">
        <f aca="false">IF(AI160="","",MIN(AI160,AJ160))</f>
        <v/>
      </c>
      <c r="AL160" s="47" t="str">
        <f aca="false">IF($C160="","",IF(AK160="","Gris — menos de 3 fuentes",IF(AND(AK160&lt;Parámetros!$B$14,N160&lt;&gt;"",N(N160)&lt;Parámetros!$B$15,N(Y160)&gt;=60),"Gris — repetir observación",IF(AK160&gt;=Parámetros!$B$13,"Verde",IF(AK160&gt;=Parámetros!$B$14,"Amarillo","Rojo")))))</f>
        <v/>
      </c>
      <c r="AM160" s="47" t="str">
        <f aca="false">IF($C160="","",IF(AND(ISNUMBER(Y160),N(Y160)&lt;60),"Ejecución &lt; 60 %: rojo automático",IF(AND(ISNUMBER(AE160),N(AE160)&lt;80),"PIAR &lt; 80 %: máximo amarillo",IF(AND(ISNUMBER(AC160),N(AC160)&lt;50,N(O160)&gt;=2),"Observación &lt; 50: máximo amarillo",IF(AND(N160&lt;&gt;"",N(N160)&lt;Parámetros!$B$15),"κ &lt; 0,60: observación descartada, repetir","")))))</f>
        <v/>
      </c>
    </row>
    <row r="161" customFormat="false" ht="15" hidden="false" customHeight="fals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7" t="str">
        <f aca="false">IF(N(E161)&gt;0,MIN(100,F161/E161*100),"")</f>
        <v/>
      </c>
      <c r="Y161" s="47" t="str">
        <f aca="false">IF(N(G161)&gt;0,MIN(100,H161/G161*100),"")</f>
        <v/>
      </c>
      <c r="Z161" s="47" t="str">
        <f aca="false">IF(N(I161)&gt;0,MIN(100,J161/I161*100),"")</f>
        <v/>
      </c>
      <c r="AA161" s="47" t="str">
        <f aca="false">IF(K161="","",K161/24*100)</f>
        <v/>
      </c>
      <c r="AB161" s="47" t="str">
        <f aca="false">IF(L161="","",L161/3*100)</f>
        <v/>
      </c>
      <c r="AC161" s="47" t="str">
        <f aca="false">IF(OR(M161="",AND(N161&lt;&gt;"",N(N161)&lt;Parámetros!$B$15)),"",MAX(0,MIN(100,(M161-1)/4*100)))</f>
        <v/>
      </c>
      <c r="AD161" s="47" t="str">
        <f aca="false">IF(OR(P161="",N(Q161)=0),"",MAX(0,MIN(100,((Q161/(Q161+Parámetros!$B$16))*P161+(Parámetros!$B$16/(Q161+Parámetros!$B$16))*Parámetros!$B$17-0.1)/0.4*100)))</f>
        <v/>
      </c>
      <c r="AE161" s="47" t="str">
        <f aca="false">IF(N(R161)&gt;0,MIN(100,S161/R161*100),"")</f>
        <v/>
      </c>
      <c r="AF161" s="47" t="str">
        <f aca="false">IF(N(U161)&gt;0,MIN(100,T161/(U161*5)*100),"")</f>
        <v/>
      </c>
      <c r="AG161" s="47" t="str">
        <f aca="false">IF(OR(V161="",N(W161)&lt;10),"",(V161-1)/4*100)</f>
        <v/>
      </c>
      <c r="AH161" s="47" t="str">
        <f aca="false">IF($C161="","",COUNT(X161:AG161))</f>
        <v/>
      </c>
      <c r="AI161" s="47" t="str">
        <f aca="false">IF(OR($C161="",N(AH161)&lt;Parámetros!$B$18),"",(IF(ISNUMBER(X161),X161*Parámetros!$B$2,0)+IF(ISNUMBER(Y161),Y161*Parámetros!$B$3,0)+IF(ISNUMBER(Z161),Z161*Parámetros!$B$4,0)+IF(ISNUMBER(AA161),AA161*Parámetros!$B$5,0)+IF(ISNUMBER(AB161),AB161*Parámetros!$B$6,0)+IF(ISNUMBER(AC161),AC161*Parámetros!$B$7,0)+IF(ISNUMBER(AD161),AD161*Parámetros!$B$8,0)+IF(ISNUMBER(AE161),AE161*Parámetros!$B$9,0)+IF(ISNUMBER(AF161),AF161*Parámetros!$B$10,0)+IF(ISNUMBER(AG161),AG161*Parámetros!$B$11,0))/(IF(ISNUMBER(X161),Parámetros!$B$2,0)+IF(ISNUMBER(Y161),Parámetros!$B$3,0)+IF(ISNUMBER(Z161),Parámetros!$B$4,0)+IF(ISNUMBER(AA161),Parámetros!$B$5,0)+IF(ISNUMBER(AB161),Parámetros!$B$6,0)+IF(ISNUMBER(AC161),Parámetros!$B$7,0)+IF(ISNUMBER(AD161),Parámetros!$B$8,0)+IF(ISNUMBER(AE161),Parámetros!$B$9,0)+IF(ISNUMBER(AF161),Parámetros!$B$10,0)+IF(ISNUMBER(AG161),Parámetros!$B$11,0)))</f>
        <v/>
      </c>
      <c r="AJ161" s="47" t="n">
        <f aca="false">IF(AND(ISNUMBER(Y161),N(Y161)&lt;60),69.9,IF(OR(AND(ISNUMBER(AE161),N(AE161)&lt;80),AND(ISNUMBER(AC161),N(AC161)&lt;50,N(O161)&gt;=2)),84.9,100))</f>
        <v>100</v>
      </c>
      <c r="AK161" s="47" t="str">
        <f aca="false">IF(AI161="","",MIN(AI161,AJ161))</f>
        <v/>
      </c>
      <c r="AL161" s="47" t="str">
        <f aca="false">IF($C161="","",IF(AK161="","Gris — menos de 3 fuentes",IF(AND(AK161&lt;Parámetros!$B$14,N161&lt;&gt;"",N(N161)&lt;Parámetros!$B$15,N(Y161)&gt;=60),"Gris — repetir observación",IF(AK161&gt;=Parámetros!$B$13,"Verde",IF(AK161&gt;=Parámetros!$B$14,"Amarillo","Rojo")))))</f>
        <v/>
      </c>
      <c r="AM161" s="47" t="str">
        <f aca="false">IF($C161="","",IF(AND(ISNUMBER(Y161),N(Y161)&lt;60),"Ejecución &lt; 60 %: rojo automático",IF(AND(ISNUMBER(AE161),N(AE161)&lt;80),"PIAR &lt; 80 %: máximo amarillo",IF(AND(ISNUMBER(AC161),N(AC161)&lt;50,N(O161)&gt;=2),"Observación &lt; 50: máximo amarillo",IF(AND(N161&lt;&gt;"",N(N161)&lt;Parámetros!$B$15),"κ &lt; 0,60: observación descartada, repetir","")))))</f>
        <v/>
      </c>
    </row>
    <row r="162" customFormat="false" ht="15" hidden="false" customHeight="fals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7" t="str">
        <f aca="false">IF(N(E162)&gt;0,MIN(100,F162/E162*100),"")</f>
        <v/>
      </c>
      <c r="Y162" s="47" t="str">
        <f aca="false">IF(N(G162)&gt;0,MIN(100,H162/G162*100),"")</f>
        <v/>
      </c>
      <c r="Z162" s="47" t="str">
        <f aca="false">IF(N(I162)&gt;0,MIN(100,J162/I162*100),"")</f>
        <v/>
      </c>
      <c r="AA162" s="47" t="str">
        <f aca="false">IF(K162="","",K162/24*100)</f>
        <v/>
      </c>
      <c r="AB162" s="47" t="str">
        <f aca="false">IF(L162="","",L162/3*100)</f>
        <v/>
      </c>
      <c r="AC162" s="47" t="str">
        <f aca="false">IF(OR(M162="",AND(N162&lt;&gt;"",N(N162)&lt;Parámetros!$B$15)),"",MAX(0,MIN(100,(M162-1)/4*100)))</f>
        <v/>
      </c>
      <c r="AD162" s="47" t="str">
        <f aca="false">IF(OR(P162="",N(Q162)=0),"",MAX(0,MIN(100,((Q162/(Q162+Parámetros!$B$16))*P162+(Parámetros!$B$16/(Q162+Parámetros!$B$16))*Parámetros!$B$17-0.1)/0.4*100)))</f>
        <v/>
      </c>
      <c r="AE162" s="47" t="str">
        <f aca="false">IF(N(R162)&gt;0,MIN(100,S162/R162*100),"")</f>
        <v/>
      </c>
      <c r="AF162" s="47" t="str">
        <f aca="false">IF(N(U162)&gt;0,MIN(100,T162/(U162*5)*100),"")</f>
        <v/>
      </c>
      <c r="AG162" s="47" t="str">
        <f aca="false">IF(OR(V162="",N(W162)&lt;10),"",(V162-1)/4*100)</f>
        <v/>
      </c>
      <c r="AH162" s="47" t="str">
        <f aca="false">IF($C162="","",COUNT(X162:AG162))</f>
        <v/>
      </c>
      <c r="AI162" s="47" t="str">
        <f aca="false">IF(OR($C162="",N(AH162)&lt;Parámetros!$B$18),"",(IF(ISNUMBER(X162),X162*Parámetros!$B$2,0)+IF(ISNUMBER(Y162),Y162*Parámetros!$B$3,0)+IF(ISNUMBER(Z162),Z162*Parámetros!$B$4,0)+IF(ISNUMBER(AA162),AA162*Parámetros!$B$5,0)+IF(ISNUMBER(AB162),AB162*Parámetros!$B$6,0)+IF(ISNUMBER(AC162),AC162*Parámetros!$B$7,0)+IF(ISNUMBER(AD162),AD162*Parámetros!$B$8,0)+IF(ISNUMBER(AE162),AE162*Parámetros!$B$9,0)+IF(ISNUMBER(AF162),AF162*Parámetros!$B$10,0)+IF(ISNUMBER(AG162),AG162*Parámetros!$B$11,0))/(IF(ISNUMBER(X162),Parámetros!$B$2,0)+IF(ISNUMBER(Y162),Parámetros!$B$3,0)+IF(ISNUMBER(Z162),Parámetros!$B$4,0)+IF(ISNUMBER(AA162),Parámetros!$B$5,0)+IF(ISNUMBER(AB162),Parámetros!$B$6,0)+IF(ISNUMBER(AC162),Parámetros!$B$7,0)+IF(ISNUMBER(AD162),Parámetros!$B$8,0)+IF(ISNUMBER(AE162),Parámetros!$B$9,0)+IF(ISNUMBER(AF162),Parámetros!$B$10,0)+IF(ISNUMBER(AG162),Parámetros!$B$11,0)))</f>
        <v/>
      </c>
      <c r="AJ162" s="47" t="n">
        <f aca="false">IF(AND(ISNUMBER(Y162),N(Y162)&lt;60),69.9,IF(OR(AND(ISNUMBER(AE162),N(AE162)&lt;80),AND(ISNUMBER(AC162),N(AC162)&lt;50,N(O162)&gt;=2)),84.9,100))</f>
        <v>100</v>
      </c>
      <c r="AK162" s="47" t="str">
        <f aca="false">IF(AI162="","",MIN(AI162,AJ162))</f>
        <v/>
      </c>
      <c r="AL162" s="47" t="str">
        <f aca="false">IF($C162="","",IF(AK162="","Gris — menos de 3 fuentes",IF(AND(AK162&lt;Parámetros!$B$14,N162&lt;&gt;"",N(N162)&lt;Parámetros!$B$15,N(Y162)&gt;=60),"Gris — repetir observación",IF(AK162&gt;=Parámetros!$B$13,"Verde",IF(AK162&gt;=Parámetros!$B$14,"Amarillo","Rojo")))))</f>
        <v/>
      </c>
      <c r="AM162" s="47" t="str">
        <f aca="false">IF($C162="","",IF(AND(ISNUMBER(Y162),N(Y162)&lt;60),"Ejecución &lt; 60 %: rojo automático",IF(AND(ISNUMBER(AE162),N(AE162)&lt;80),"PIAR &lt; 80 %: máximo amarillo",IF(AND(ISNUMBER(AC162),N(AC162)&lt;50,N(O162)&gt;=2),"Observación &lt; 50: máximo amarillo",IF(AND(N162&lt;&gt;"",N(N162)&lt;Parámetros!$B$15),"κ &lt; 0,60: observación descartada, repetir","")))))</f>
        <v/>
      </c>
    </row>
    <row r="163" customFormat="false" ht="15" hidden="false" customHeight="fals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7" t="str">
        <f aca="false">IF(N(E163)&gt;0,MIN(100,F163/E163*100),"")</f>
        <v/>
      </c>
      <c r="Y163" s="47" t="str">
        <f aca="false">IF(N(G163)&gt;0,MIN(100,H163/G163*100),"")</f>
        <v/>
      </c>
      <c r="Z163" s="47" t="str">
        <f aca="false">IF(N(I163)&gt;0,MIN(100,J163/I163*100),"")</f>
        <v/>
      </c>
      <c r="AA163" s="47" t="str">
        <f aca="false">IF(K163="","",K163/24*100)</f>
        <v/>
      </c>
      <c r="AB163" s="47" t="str">
        <f aca="false">IF(L163="","",L163/3*100)</f>
        <v/>
      </c>
      <c r="AC163" s="47" t="str">
        <f aca="false">IF(OR(M163="",AND(N163&lt;&gt;"",N(N163)&lt;Parámetros!$B$15)),"",MAX(0,MIN(100,(M163-1)/4*100)))</f>
        <v/>
      </c>
      <c r="AD163" s="47" t="str">
        <f aca="false">IF(OR(P163="",N(Q163)=0),"",MAX(0,MIN(100,((Q163/(Q163+Parámetros!$B$16))*P163+(Parámetros!$B$16/(Q163+Parámetros!$B$16))*Parámetros!$B$17-0.1)/0.4*100)))</f>
        <v/>
      </c>
      <c r="AE163" s="47" t="str">
        <f aca="false">IF(N(R163)&gt;0,MIN(100,S163/R163*100),"")</f>
        <v/>
      </c>
      <c r="AF163" s="47" t="str">
        <f aca="false">IF(N(U163)&gt;0,MIN(100,T163/(U163*5)*100),"")</f>
        <v/>
      </c>
      <c r="AG163" s="47" t="str">
        <f aca="false">IF(OR(V163="",N(W163)&lt;10),"",(V163-1)/4*100)</f>
        <v/>
      </c>
      <c r="AH163" s="47" t="str">
        <f aca="false">IF($C163="","",COUNT(X163:AG163))</f>
        <v/>
      </c>
      <c r="AI163" s="47" t="str">
        <f aca="false">IF(OR($C163="",N(AH163)&lt;Parámetros!$B$18),"",(IF(ISNUMBER(X163),X163*Parámetros!$B$2,0)+IF(ISNUMBER(Y163),Y163*Parámetros!$B$3,0)+IF(ISNUMBER(Z163),Z163*Parámetros!$B$4,0)+IF(ISNUMBER(AA163),AA163*Parámetros!$B$5,0)+IF(ISNUMBER(AB163),AB163*Parámetros!$B$6,0)+IF(ISNUMBER(AC163),AC163*Parámetros!$B$7,0)+IF(ISNUMBER(AD163),AD163*Parámetros!$B$8,0)+IF(ISNUMBER(AE163),AE163*Parámetros!$B$9,0)+IF(ISNUMBER(AF163),AF163*Parámetros!$B$10,0)+IF(ISNUMBER(AG163),AG163*Parámetros!$B$11,0))/(IF(ISNUMBER(X163),Parámetros!$B$2,0)+IF(ISNUMBER(Y163),Parámetros!$B$3,0)+IF(ISNUMBER(Z163),Parámetros!$B$4,0)+IF(ISNUMBER(AA163),Parámetros!$B$5,0)+IF(ISNUMBER(AB163),Parámetros!$B$6,0)+IF(ISNUMBER(AC163),Parámetros!$B$7,0)+IF(ISNUMBER(AD163),Parámetros!$B$8,0)+IF(ISNUMBER(AE163),Parámetros!$B$9,0)+IF(ISNUMBER(AF163),Parámetros!$B$10,0)+IF(ISNUMBER(AG163),Parámetros!$B$11,0)))</f>
        <v/>
      </c>
      <c r="AJ163" s="47" t="n">
        <f aca="false">IF(AND(ISNUMBER(Y163),N(Y163)&lt;60),69.9,IF(OR(AND(ISNUMBER(AE163),N(AE163)&lt;80),AND(ISNUMBER(AC163),N(AC163)&lt;50,N(O163)&gt;=2)),84.9,100))</f>
        <v>100</v>
      </c>
      <c r="AK163" s="47" t="str">
        <f aca="false">IF(AI163="","",MIN(AI163,AJ163))</f>
        <v/>
      </c>
      <c r="AL163" s="47" t="str">
        <f aca="false">IF($C163="","",IF(AK163="","Gris — menos de 3 fuentes",IF(AND(AK163&lt;Parámetros!$B$14,N163&lt;&gt;"",N(N163)&lt;Parámetros!$B$15,N(Y163)&gt;=60),"Gris — repetir observación",IF(AK163&gt;=Parámetros!$B$13,"Verde",IF(AK163&gt;=Parámetros!$B$14,"Amarillo","Rojo")))))</f>
        <v/>
      </c>
      <c r="AM163" s="47" t="str">
        <f aca="false">IF($C163="","",IF(AND(ISNUMBER(Y163),N(Y163)&lt;60),"Ejecución &lt; 60 %: rojo automático",IF(AND(ISNUMBER(AE163),N(AE163)&lt;80),"PIAR &lt; 80 %: máximo amarillo",IF(AND(ISNUMBER(AC163),N(AC163)&lt;50,N(O163)&gt;=2),"Observación &lt; 50: máximo amarillo",IF(AND(N163&lt;&gt;"",N(N163)&lt;Parámetros!$B$15),"κ &lt; 0,60: observación descartada, repetir","")))))</f>
        <v/>
      </c>
    </row>
    <row r="164" customFormat="false" ht="15" hidden="false" customHeight="fals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7" t="str">
        <f aca="false">IF(N(E164)&gt;0,MIN(100,F164/E164*100),"")</f>
        <v/>
      </c>
      <c r="Y164" s="47" t="str">
        <f aca="false">IF(N(G164)&gt;0,MIN(100,H164/G164*100),"")</f>
        <v/>
      </c>
      <c r="Z164" s="47" t="str">
        <f aca="false">IF(N(I164)&gt;0,MIN(100,J164/I164*100),"")</f>
        <v/>
      </c>
      <c r="AA164" s="47" t="str">
        <f aca="false">IF(K164="","",K164/24*100)</f>
        <v/>
      </c>
      <c r="AB164" s="47" t="str">
        <f aca="false">IF(L164="","",L164/3*100)</f>
        <v/>
      </c>
      <c r="AC164" s="47" t="str">
        <f aca="false">IF(OR(M164="",AND(N164&lt;&gt;"",N(N164)&lt;Parámetros!$B$15)),"",MAX(0,MIN(100,(M164-1)/4*100)))</f>
        <v/>
      </c>
      <c r="AD164" s="47" t="str">
        <f aca="false">IF(OR(P164="",N(Q164)=0),"",MAX(0,MIN(100,((Q164/(Q164+Parámetros!$B$16))*P164+(Parámetros!$B$16/(Q164+Parámetros!$B$16))*Parámetros!$B$17-0.1)/0.4*100)))</f>
        <v/>
      </c>
      <c r="AE164" s="47" t="str">
        <f aca="false">IF(N(R164)&gt;0,MIN(100,S164/R164*100),"")</f>
        <v/>
      </c>
      <c r="AF164" s="47" t="str">
        <f aca="false">IF(N(U164)&gt;0,MIN(100,T164/(U164*5)*100),"")</f>
        <v/>
      </c>
      <c r="AG164" s="47" t="str">
        <f aca="false">IF(OR(V164="",N(W164)&lt;10),"",(V164-1)/4*100)</f>
        <v/>
      </c>
      <c r="AH164" s="47" t="str">
        <f aca="false">IF($C164="","",COUNT(X164:AG164))</f>
        <v/>
      </c>
      <c r="AI164" s="47" t="str">
        <f aca="false">IF(OR($C164="",N(AH164)&lt;Parámetros!$B$18),"",(IF(ISNUMBER(X164),X164*Parámetros!$B$2,0)+IF(ISNUMBER(Y164),Y164*Parámetros!$B$3,0)+IF(ISNUMBER(Z164),Z164*Parámetros!$B$4,0)+IF(ISNUMBER(AA164),AA164*Parámetros!$B$5,0)+IF(ISNUMBER(AB164),AB164*Parámetros!$B$6,0)+IF(ISNUMBER(AC164),AC164*Parámetros!$B$7,0)+IF(ISNUMBER(AD164),AD164*Parámetros!$B$8,0)+IF(ISNUMBER(AE164),AE164*Parámetros!$B$9,0)+IF(ISNUMBER(AF164),AF164*Parámetros!$B$10,0)+IF(ISNUMBER(AG164),AG164*Parámetros!$B$11,0))/(IF(ISNUMBER(X164),Parámetros!$B$2,0)+IF(ISNUMBER(Y164),Parámetros!$B$3,0)+IF(ISNUMBER(Z164),Parámetros!$B$4,0)+IF(ISNUMBER(AA164),Parámetros!$B$5,0)+IF(ISNUMBER(AB164),Parámetros!$B$6,0)+IF(ISNUMBER(AC164),Parámetros!$B$7,0)+IF(ISNUMBER(AD164),Parámetros!$B$8,0)+IF(ISNUMBER(AE164),Parámetros!$B$9,0)+IF(ISNUMBER(AF164),Parámetros!$B$10,0)+IF(ISNUMBER(AG164),Parámetros!$B$11,0)))</f>
        <v/>
      </c>
      <c r="AJ164" s="47" t="n">
        <f aca="false">IF(AND(ISNUMBER(Y164),N(Y164)&lt;60),69.9,IF(OR(AND(ISNUMBER(AE164),N(AE164)&lt;80),AND(ISNUMBER(AC164),N(AC164)&lt;50,N(O164)&gt;=2)),84.9,100))</f>
        <v>100</v>
      </c>
      <c r="AK164" s="47" t="str">
        <f aca="false">IF(AI164="","",MIN(AI164,AJ164))</f>
        <v/>
      </c>
      <c r="AL164" s="47" t="str">
        <f aca="false">IF($C164="","",IF(AK164="","Gris — menos de 3 fuentes",IF(AND(AK164&lt;Parámetros!$B$14,N164&lt;&gt;"",N(N164)&lt;Parámetros!$B$15,N(Y164)&gt;=60),"Gris — repetir observación",IF(AK164&gt;=Parámetros!$B$13,"Verde",IF(AK164&gt;=Parámetros!$B$14,"Amarillo","Rojo")))))</f>
        <v/>
      </c>
      <c r="AM164" s="47" t="str">
        <f aca="false">IF($C164="","",IF(AND(ISNUMBER(Y164),N(Y164)&lt;60),"Ejecución &lt; 60 %: rojo automático",IF(AND(ISNUMBER(AE164),N(AE164)&lt;80),"PIAR &lt; 80 %: máximo amarillo",IF(AND(ISNUMBER(AC164),N(AC164)&lt;50,N(O164)&gt;=2),"Observación &lt; 50: máximo amarillo",IF(AND(N164&lt;&gt;"",N(N164)&lt;Parámetros!$B$15),"κ &lt; 0,60: observación descartada, repetir","")))))</f>
        <v/>
      </c>
    </row>
    <row r="165" customFormat="false" ht="15" hidden="false" customHeight="fals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7" t="str">
        <f aca="false">IF(N(E165)&gt;0,MIN(100,F165/E165*100),"")</f>
        <v/>
      </c>
      <c r="Y165" s="47" t="str">
        <f aca="false">IF(N(G165)&gt;0,MIN(100,H165/G165*100),"")</f>
        <v/>
      </c>
      <c r="Z165" s="47" t="str">
        <f aca="false">IF(N(I165)&gt;0,MIN(100,J165/I165*100),"")</f>
        <v/>
      </c>
      <c r="AA165" s="47" t="str">
        <f aca="false">IF(K165="","",K165/24*100)</f>
        <v/>
      </c>
      <c r="AB165" s="47" t="str">
        <f aca="false">IF(L165="","",L165/3*100)</f>
        <v/>
      </c>
      <c r="AC165" s="47" t="str">
        <f aca="false">IF(OR(M165="",AND(N165&lt;&gt;"",N(N165)&lt;Parámetros!$B$15)),"",MAX(0,MIN(100,(M165-1)/4*100)))</f>
        <v/>
      </c>
      <c r="AD165" s="47" t="str">
        <f aca="false">IF(OR(P165="",N(Q165)=0),"",MAX(0,MIN(100,((Q165/(Q165+Parámetros!$B$16))*P165+(Parámetros!$B$16/(Q165+Parámetros!$B$16))*Parámetros!$B$17-0.1)/0.4*100)))</f>
        <v/>
      </c>
      <c r="AE165" s="47" t="str">
        <f aca="false">IF(N(R165)&gt;0,MIN(100,S165/R165*100),"")</f>
        <v/>
      </c>
      <c r="AF165" s="47" t="str">
        <f aca="false">IF(N(U165)&gt;0,MIN(100,T165/(U165*5)*100),"")</f>
        <v/>
      </c>
      <c r="AG165" s="47" t="str">
        <f aca="false">IF(OR(V165="",N(W165)&lt;10),"",(V165-1)/4*100)</f>
        <v/>
      </c>
      <c r="AH165" s="47" t="str">
        <f aca="false">IF($C165="","",COUNT(X165:AG165))</f>
        <v/>
      </c>
      <c r="AI165" s="47" t="str">
        <f aca="false">IF(OR($C165="",N(AH165)&lt;Parámetros!$B$18),"",(IF(ISNUMBER(X165),X165*Parámetros!$B$2,0)+IF(ISNUMBER(Y165),Y165*Parámetros!$B$3,0)+IF(ISNUMBER(Z165),Z165*Parámetros!$B$4,0)+IF(ISNUMBER(AA165),AA165*Parámetros!$B$5,0)+IF(ISNUMBER(AB165),AB165*Parámetros!$B$6,0)+IF(ISNUMBER(AC165),AC165*Parámetros!$B$7,0)+IF(ISNUMBER(AD165),AD165*Parámetros!$B$8,0)+IF(ISNUMBER(AE165),AE165*Parámetros!$B$9,0)+IF(ISNUMBER(AF165),AF165*Parámetros!$B$10,0)+IF(ISNUMBER(AG165),AG165*Parámetros!$B$11,0))/(IF(ISNUMBER(X165),Parámetros!$B$2,0)+IF(ISNUMBER(Y165),Parámetros!$B$3,0)+IF(ISNUMBER(Z165),Parámetros!$B$4,0)+IF(ISNUMBER(AA165),Parámetros!$B$5,0)+IF(ISNUMBER(AB165),Parámetros!$B$6,0)+IF(ISNUMBER(AC165),Parámetros!$B$7,0)+IF(ISNUMBER(AD165),Parámetros!$B$8,0)+IF(ISNUMBER(AE165),Parámetros!$B$9,0)+IF(ISNUMBER(AF165),Parámetros!$B$10,0)+IF(ISNUMBER(AG165),Parámetros!$B$11,0)))</f>
        <v/>
      </c>
      <c r="AJ165" s="47" t="n">
        <f aca="false">IF(AND(ISNUMBER(Y165),N(Y165)&lt;60),69.9,IF(OR(AND(ISNUMBER(AE165),N(AE165)&lt;80),AND(ISNUMBER(AC165),N(AC165)&lt;50,N(O165)&gt;=2)),84.9,100))</f>
        <v>100</v>
      </c>
      <c r="AK165" s="47" t="str">
        <f aca="false">IF(AI165="","",MIN(AI165,AJ165))</f>
        <v/>
      </c>
      <c r="AL165" s="47" t="str">
        <f aca="false">IF($C165="","",IF(AK165="","Gris — menos de 3 fuentes",IF(AND(AK165&lt;Parámetros!$B$14,N165&lt;&gt;"",N(N165)&lt;Parámetros!$B$15,N(Y165)&gt;=60),"Gris — repetir observación",IF(AK165&gt;=Parámetros!$B$13,"Verde",IF(AK165&gt;=Parámetros!$B$14,"Amarillo","Rojo")))))</f>
        <v/>
      </c>
      <c r="AM165" s="47" t="str">
        <f aca="false">IF($C165="","",IF(AND(ISNUMBER(Y165),N(Y165)&lt;60),"Ejecución &lt; 60 %: rojo automático",IF(AND(ISNUMBER(AE165),N(AE165)&lt;80),"PIAR &lt; 80 %: máximo amarillo",IF(AND(ISNUMBER(AC165),N(AC165)&lt;50,N(O165)&gt;=2),"Observación &lt; 50: máximo amarillo",IF(AND(N165&lt;&gt;"",N(N165)&lt;Parámetros!$B$15),"κ &lt; 0,60: observación descartada, repetir","")))))</f>
        <v/>
      </c>
    </row>
    <row r="166" customFormat="false" ht="15" hidden="false" customHeight="fals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7" t="str">
        <f aca="false">IF(N(E166)&gt;0,MIN(100,F166/E166*100),"")</f>
        <v/>
      </c>
      <c r="Y166" s="47" t="str">
        <f aca="false">IF(N(G166)&gt;0,MIN(100,H166/G166*100),"")</f>
        <v/>
      </c>
      <c r="Z166" s="47" t="str">
        <f aca="false">IF(N(I166)&gt;0,MIN(100,J166/I166*100),"")</f>
        <v/>
      </c>
      <c r="AA166" s="47" t="str">
        <f aca="false">IF(K166="","",K166/24*100)</f>
        <v/>
      </c>
      <c r="AB166" s="47" t="str">
        <f aca="false">IF(L166="","",L166/3*100)</f>
        <v/>
      </c>
      <c r="AC166" s="47" t="str">
        <f aca="false">IF(OR(M166="",AND(N166&lt;&gt;"",N(N166)&lt;Parámetros!$B$15)),"",MAX(0,MIN(100,(M166-1)/4*100)))</f>
        <v/>
      </c>
      <c r="AD166" s="47" t="str">
        <f aca="false">IF(OR(P166="",N(Q166)=0),"",MAX(0,MIN(100,((Q166/(Q166+Parámetros!$B$16))*P166+(Parámetros!$B$16/(Q166+Parámetros!$B$16))*Parámetros!$B$17-0.1)/0.4*100)))</f>
        <v/>
      </c>
      <c r="AE166" s="47" t="str">
        <f aca="false">IF(N(R166)&gt;0,MIN(100,S166/R166*100),"")</f>
        <v/>
      </c>
      <c r="AF166" s="47" t="str">
        <f aca="false">IF(N(U166)&gt;0,MIN(100,T166/(U166*5)*100),"")</f>
        <v/>
      </c>
      <c r="AG166" s="47" t="str">
        <f aca="false">IF(OR(V166="",N(W166)&lt;10),"",(V166-1)/4*100)</f>
        <v/>
      </c>
      <c r="AH166" s="47" t="str">
        <f aca="false">IF($C166="","",COUNT(X166:AG166))</f>
        <v/>
      </c>
      <c r="AI166" s="47" t="str">
        <f aca="false">IF(OR($C166="",N(AH166)&lt;Parámetros!$B$18),"",(IF(ISNUMBER(X166),X166*Parámetros!$B$2,0)+IF(ISNUMBER(Y166),Y166*Parámetros!$B$3,0)+IF(ISNUMBER(Z166),Z166*Parámetros!$B$4,0)+IF(ISNUMBER(AA166),AA166*Parámetros!$B$5,0)+IF(ISNUMBER(AB166),AB166*Parámetros!$B$6,0)+IF(ISNUMBER(AC166),AC166*Parámetros!$B$7,0)+IF(ISNUMBER(AD166),AD166*Parámetros!$B$8,0)+IF(ISNUMBER(AE166),AE166*Parámetros!$B$9,0)+IF(ISNUMBER(AF166),AF166*Parámetros!$B$10,0)+IF(ISNUMBER(AG166),AG166*Parámetros!$B$11,0))/(IF(ISNUMBER(X166),Parámetros!$B$2,0)+IF(ISNUMBER(Y166),Parámetros!$B$3,0)+IF(ISNUMBER(Z166),Parámetros!$B$4,0)+IF(ISNUMBER(AA166),Parámetros!$B$5,0)+IF(ISNUMBER(AB166),Parámetros!$B$6,0)+IF(ISNUMBER(AC166),Parámetros!$B$7,0)+IF(ISNUMBER(AD166),Parámetros!$B$8,0)+IF(ISNUMBER(AE166),Parámetros!$B$9,0)+IF(ISNUMBER(AF166),Parámetros!$B$10,0)+IF(ISNUMBER(AG166),Parámetros!$B$11,0)))</f>
        <v/>
      </c>
      <c r="AJ166" s="47" t="n">
        <f aca="false">IF(AND(ISNUMBER(Y166),N(Y166)&lt;60),69.9,IF(OR(AND(ISNUMBER(AE166),N(AE166)&lt;80),AND(ISNUMBER(AC166),N(AC166)&lt;50,N(O166)&gt;=2)),84.9,100))</f>
        <v>100</v>
      </c>
      <c r="AK166" s="47" t="str">
        <f aca="false">IF(AI166="","",MIN(AI166,AJ166))</f>
        <v/>
      </c>
      <c r="AL166" s="47" t="str">
        <f aca="false">IF($C166="","",IF(AK166="","Gris — menos de 3 fuentes",IF(AND(AK166&lt;Parámetros!$B$14,N166&lt;&gt;"",N(N166)&lt;Parámetros!$B$15,N(Y166)&gt;=60),"Gris — repetir observación",IF(AK166&gt;=Parámetros!$B$13,"Verde",IF(AK166&gt;=Parámetros!$B$14,"Amarillo","Rojo")))))</f>
        <v/>
      </c>
      <c r="AM166" s="47" t="str">
        <f aca="false">IF($C166="","",IF(AND(ISNUMBER(Y166),N(Y166)&lt;60),"Ejecución &lt; 60 %: rojo automático",IF(AND(ISNUMBER(AE166),N(AE166)&lt;80),"PIAR &lt; 80 %: máximo amarillo",IF(AND(ISNUMBER(AC166),N(AC166)&lt;50,N(O166)&gt;=2),"Observación &lt; 50: máximo amarillo",IF(AND(N166&lt;&gt;"",N(N166)&lt;Parámetros!$B$15),"κ &lt; 0,60: observación descartada, repetir","")))))</f>
        <v/>
      </c>
    </row>
    <row r="167" customFormat="false" ht="15" hidden="false" customHeight="fals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7" t="str">
        <f aca="false">IF(N(E167)&gt;0,MIN(100,F167/E167*100),"")</f>
        <v/>
      </c>
      <c r="Y167" s="47" t="str">
        <f aca="false">IF(N(G167)&gt;0,MIN(100,H167/G167*100),"")</f>
        <v/>
      </c>
      <c r="Z167" s="47" t="str">
        <f aca="false">IF(N(I167)&gt;0,MIN(100,J167/I167*100),"")</f>
        <v/>
      </c>
      <c r="AA167" s="47" t="str">
        <f aca="false">IF(K167="","",K167/24*100)</f>
        <v/>
      </c>
      <c r="AB167" s="47" t="str">
        <f aca="false">IF(L167="","",L167/3*100)</f>
        <v/>
      </c>
      <c r="AC167" s="47" t="str">
        <f aca="false">IF(OR(M167="",AND(N167&lt;&gt;"",N(N167)&lt;Parámetros!$B$15)),"",MAX(0,MIN(100,(M167-1)/4*100)))</f>
        <v/>
      </c>
      <c r="AD167" s="47" t="str">
        <f aca="false">IF(OR(P167="",N(Q167)=0),"",MAX(0,MIN(100,((Q167/(Q167+Parámetros!$B$16))*P167+(Parámetros!$B$16/(Q167+Parámetros!$B$16))*Parámetros!$B$17-0.1)/0.4*100)))</f>
        <v/>
      </c>
      <c r="AE167" s="47" t="str">
        <f aca="false">IF(N(R167)&gt;0,MIN(100,S167/R167*100),"")</f>
        <v/>
      </c>
      <c r="AF167" s="47" t="str">
        <f aca="false">IF(N(U167)&gt;0,MIN(100,T167/(U167*5)*100),"")</f>
        <v/>
      </c>
      <c r="AG167" s="47" t="str">
        <f aca="false">IF(OR(V167="",N(W167)&lt;10),"",(V167-1)/4*100)</f>
        <v/>
      </c>
      <c r="AH167" s="47" t="str">
        <f aca="false">IF($C167="","",COUNT(X167:AG167))</f>
        <v/>
      </c>
      <c r="AI167" s="47" t="str">
        <f aca="false">IF(OR($C167="",N(AH167)&lt;Parámetros!$B$18),"",(IF(ISNUMBER(X167),X167*Parámetros!$B$2,0)+IF(ISNUMBER(Y167),Y167*Parámetros!$B$3,0)+IF(ISNUMBER(Z167),Z167*Parámetros!$B$4,0)+IF(ISNUMBER(AA167),AA167*Parámetros!$B$5,0)+IF(ISNUMBER(AB167),AB167*Parámetros!$B$6,0)+IF(ISNUMBER(AC167),AC167*Parámetros!$B$7,0)+IF(ISNUMBER(AD167),AD167*Parámetros!$B$8,0)+IF(ISNUMBER(AE167),AE167*Parámetros!$B$9,0)+IF(ISNUMBER(AF167),AF167*Parámetros!$B$10,0)+IF(ISNUMBER(AG167),AG167*Parámetros!$B$11,0))/(IF(ISNUMBER(X167),Parámetros!$B$2,0)+IF(ISNUMBER(Y167),Parámetros!$B$3,0)+IF(ISNUMBER(Z167),Parámetros!$B$4,0)+IF(ISNUMBER(AA167),Parámetros!$B$5,0)+IF(ISNUMBER(AB167),Parámetros!$B$6,0)+IF(ISNUMBER(AC167),Parámetros!$B$7,0)+IF(ISNUMBER(AD167),Parámetros!$B$8,0)+IF(ISNUMBER(AE167),Parámetros!$B$9,0)+IF(ISNUMBER(AF167),Parámetros!$B$10,0)+IF(ISNUMBER(AG167),Parámetros!$B$11,0)))</f>
        <v/>
      </c>
      <c r="AJ167" s="47" t="n">
        <f aca="false">IF(AND(ISNUMBER(Y167),N(Y167)&lt;60),69.9,IF(OR(AND(ISNUMBER(AE167),N(AE167)&lt;80),AND(ISNUMBER(AC167),N(AC167)&lt;50,N(O167)&gt;=2)),84.9,100))</f>
        <v>100</v>
      </c>
      <c r="AK167" s="47" t="str">
        <f aca="false">IF(AI167="","",MIN(AI167,AJ167))</f>
        <v/>
      </c>
      <c r="AL167" s="47" t="str">
        <f aca="false">IF($C167="","",IF(AK167="","Gris — menos de 3 fuentes",IF(AND(AK167&lt;Parámetros!$B$14,N167&lt;&gt;"",N(N167)&lt;Parámetros!$B$15,N(Y167)&gt;=60),"Gris — repetir observación",IF(AK167&gt;=Parámetros!$B$13,"Verde",IF(AK167&gt;=Parámetros!$B$14,"Amarillo","Rojo")))))</f>
        <v/>
      </c>
      <c r="AM167" s="47" t="str">
        <f aca="false">IF($C167="","",IF(AND(ISNUMBER(Y167),N(Y167)&lt;60),"Ejecución &lt; 60 %: rojo automático",IF(AND(ISNUMBER(AE167),N(AE167)&lt;80),"PIAR &lt; 80 %: máximo amarillo",IF(AND(ISNUMBER(AC167),N(AC167)&lt;50,N(O167)&gt;=2),"Observación &lt; 50: máximo amarillo",IF(AND(N167&lt;&gt;"",N(N167)&lt;Parámetros!$B$15),"κ &lt; 0,60: observación descartada, repetir","")))))</f>
        <v/>
      </c>
    </row>
    <row r="168" customFormat="false" ht="15" hidden="false" customHeight="fals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7" t="str">
        <f aca="false">IF(N(E168)&gt;0,MIN(100,F168/E168*100),"")</f>
        <v/>
      </c>
      <c r="Y168" s="47" t="str">
        <f aca="false">IF(N(G168)&gt;0,MIN(100,H168/G168*100),"")</f>
        <v/>
      </c>
      <c r="Z168" s="47" t="str">
        <f aca="false">IF(N(I168)&gt;0,MIN(100,J168/I168*100),"")</f>
        <v/>
      </c>
      <c r="AA168" s="47" t="str">
        <f aca="false">IF(K168="","",K168/24*100)</f>
        <v/>
      </c>
      <c r="AB168" s="47" t="str">
        <f aca="false">IF(L168="","",L168/3*100)</f>
        <v/>
      </c>
      <c r="AC168" s="47" t="str">
        <f aca="false">IF(OR(M168="",AND(N168&lt;&gt;"",N(N168)&lt;Parámetros!$B$15)),"",MAX(0,MIN(100,(M168-1)/4*100)))</f>
        <v/>
      </c>
      <c r="AD168" s="47" t="str">
        <f aca="false">IF(OR(P168="",N(Q168)=0),"",MAX(0,MIN(100,((Q168/(Q168+Parámetros!$B$16))*P168+(Parámetros!$B$16/(Q168+Parámetros!$B$16))*Parámetros!$B$17-0.1)/0.4*100)))</f>
        <v/>
      </c>
      <c r="AE168" s="47" t="str">
        <f aca="false">IF(N(R168)&gt;0,MIN(100,S168/R168*100),"")</f>
        <v/>
      </c>
      <c r="AF168" s="47" t="str">
        <f aca="false">IF(N(U168)&gt;0,MIN(100,T168/(U168*5)*100),"")</f>
        <v/>
      </c>
      <c r="AG168" s="47" t="str">
        <f aca="false">IF(OR(V168="",N(W168)&lt;10),"",(V168-1)/4*100)</f>
        <v/>
      </c>
      <c r="AH168" s="47" t="str">
        <f aca="false">IF($C168="","",COUNT(X168:AG168))</f>
        <v/>
      </c>
      <c r="AI168" s="47" t="str">
        <f aca="false">IF(OR($C168="",N(AH168)&lt;Parámetros!$B$18),"",(IF(ISNUMBER(X168),X168*Parámetros!$B$2,0)+IF(ISNUMBER(Y168),Y168*Parámetros!$B$3,0)+IF(ISNUMBER(Z168),Z168*Parámetros!$B$4,0)+IF(ISNUMBER(AA168),AA168*Parámetros!$B$5,0)+IF(ISNUMBER(AB168),AB168*Parámetros!$B$6,0)+IF(ISNUMBER(AC168),AC168*Parámetros!$B$7,0)+IF(ISNUMBER(AD168),AD168*Parámetros!$B$8,0)+IF(ISNUMBER(AE168),AE168*Parámetros!$B$9,0)+IF(ISNUMBER(AF168),AF168*Parámetros!$B$10,0)+IF(ISNUMBER(AG168),AG168*Parámetros!$B$11,0))/(IF(ISNUMBER(X168),Parámetros!$B$2,0)+IF(ISNUMBER(Y168),Parámetros!$B$3,0)+IF(ISNUMBER(Z168),Parámetros!$B$4,0)+IF(ISNUMBER(AA168),Parámetros!$B$5,0)+IF(ISNUMBER(AB168),Parámetros!$B$6,0)+IF(ISNUMBER(AC168),Parámetros!$B$7,0)+IF(ISNUMBER(AD168),Parámetros!$B$8,0)+IF(ISNUMBER(AE168),Parámetros!$B$9,0)+IF(ISNUMBER(AF168),Parámetros!$B$10,0)+IF(ISNUMBER(AG168),Parámetros!$B$11,0)))</f>
        <v/>
      </c>
      <c r="AJ168" s="47" t="n">
        <f aca="false">IF(AND(ISNUMBER(Y168),N(Y168)&lt;60),69.9,IF(OR(AND(ISNUMBER(AE168),N(AE168)&lt;80),AND(ISNUMBER(AC168),N(AC168)&lt;50,N(O168)&gt;=2)),84.9,100))</f>
        <v>100</v>
      </c>
      <c r="AK168" s="47" t="str">
        <f aca="false">IF(AI168="","",MIN(AI168,AJ168))</f>
        <v/>
      </c>
      <c r="AL168" s="47" t="str">
        <f aca="false">IF($C168="","",IF(AK168="","Gris — menos de 3 fuentes",IF(AND(AK168&lt;Parámetros!$B$14,N168&lt;&gt;"",N(N168)&lt;Parámetros!$B$15,N(Y168)&gt;=60),"Gris — repetir observación",IF(AK168&gt;=Parámetros!$B$13,"Verde",IF(AK168&gt;=Parámetros!$B$14,"Amarillo","Rojo")))))</f>
        <v/>
      </c>
      <c r="AM168" s="47" t="str">
        <f aca="false">IF($C168="","",IF(AND(ISNUMBER(Y168),N(Y168)&lt;60),"Ejecución &lt; 60 %: rojo automático",IF(AND(ISNUMBER(AE168),N(AE168)&lt;80),"PIAR &lt; 80 %: máximo amarillo",IF(AND(ISNUMBER(AC168),N(AC168)&lt;50,N(O168)&gt;=2),"Observación &lt; 50: máximo amarillo",IF(AND(N168&lt;&gt;"",N(N168)&lt;Parámetros!$B$15),"κ &lt; 0,60: observación descartada, repetir","")))))</f>
        <v/>
      </c>
    </row>
    <row r="169" customFormat="false" ht="15" hidden="false" customHeight="fals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7" t="str">
        <f aca="false">IF(N(E169)&gt;0,MIN(100,F169/E169*100),"")</f>
        <v/>
      </c>
      <c r="Y169" s="47" t="str">
        <f aca="false">IF(N(G169)&gt;0,MIN(100,H169/G169*100),"")</f>
        <v/>
      </c>
      <c r="Z169" s="47" t="str">
        <f aca="false">IF(N(I169)&gt;0,MIN(100,J169/I169*100),"")</f>
        <v/>
      </c>
      <c r="AA169" s="47" t="str">
        <f aca="false">IF(K169="","",K169/24*100)</f>
        <v/>
      </c>
      <c r="AB169" s="47" t="str">
        <f aca="false">IF(L169="","",L169/3*100)</f>
        <v/>
      </c>
      <c r="AC169" s="47" t="str">
        <f aca="false">IF(OR(M169="",AND(N169&lt;&gt;"",N(N169)&lt;Parámetros!$B$15)),"",MAX(0,MIN(100,(M169-1)/4*100)))</f>
        <v/>
      </c>
      <c r="AD169" s="47" t="str">
        <f aca="false">IF(OR(P169="",N(Q169)=0),"",MAX(0,MIN(100,((Q169/(Q169+Parámetros!$B$16))*P169+(Parámetros!$B$16/(Q169+Parámetros!$B$16))*Parámetros!$B$17-0.1)/0.4*100)))</f>
        <v/>
      </c>
      <c r="AE169" s="47" t="str">
        <f aca="false">IF(N(R169)&gt;0,MIN(100,S169/R169*100),"")</f>
        <v/>
      </c>
      <c r="AF169" s="47" t="str">
        <f aca="false">IF(N(U169)&gt;0,MIN(100,T169/(U169*5)*100),"")</f>
        <v/>
      </c>
      <c r="AG169" s="47" t="str">
        <f aca="false">IF(OR(V169="",N(W169)&lt;10),"",(V169-1)/4*100)</f>
        <v/>
      </c>
      <c r="AH169" s="47" t="str">
        <f aca="false">IF($C169="","",COUNT(X169:AG169))</f>
        <v/>
      </c>
      <c r="AI169" s="47" t="str">
        <f aca="false">IF(OR($C169="",N(AH169)&lt;Parámetros!$B$18),"",(IF(ISNUMBER(X169),X169*Parámetros!$B$2,0)+IF(ISNUMBER(Y169),Y169*Parámetros!$B$3,0)+IF(ISNUMBER(Z169),Z169*Parámetros!$B$4,0)+IF(ISNUMBER(AA169),AA169*Parámetros!$B$5,0)+IF(ISNUMBER(AB169),AB169*Parámetros!$B$6,0)+IF(ISNUMBER(AC169),AC169*Parámetros!$B$7,0)+IF(ISNUMBER(AD169),AD169*Parámetros!$B$8,0)+IF(ISNUMBER(AE169),AE169*Parámetros!$B$9,0)+IF(ISNUMBER(AF169),AF169*Parámetros!$B$10,0)+IF(ISNUMBER(AG169),AG169*Parámetros!$B$11,0))/(IF(ISNUMBER(X169),Parámetros!$B$2,0)+IF(ISNUMBER(Y169),Parámetros!$B$3,0)+IF(ISNUMBER(Z169),Parámetros!$B$4,0)+IF(ISNUMBER(AA169),Parámetros!$B$5,0)+IF(ISNUMBER(AB169),Parámetros!$B$6,0)+IF(ISNUMBER(AC169),Parámetros!$B$7,0)+IF(ISNUMBER(AD169),Parámetros!$B$8,0)+IF(ISNUMBER(AE169),Parámetros!$B$9,0)+IF(ISNUMBER(AF169),Parámetros!$B$10,0)+IF(ISNUMBER(AG169),Parámetros!$B$11,0)))</f>
        <v/>
      </c>
      <c r="AJ169" s="47" t="n">
        <f aca="false">IF(AND(ISNUMBER(Y169),N(Y169)&lt;60),69.9,IF(OR(AND(ISNUMBER(AE169),N(AE169)&lt;80),AND(ISNUMBER(AC169),N(AC169)&lt;50,N(O169)&gt;=2)),84.9,100))</f>
        <v>100</v>
      </c>
      <c r="AK169" s="47" t="str">
        <f aca="false">IF(AI169="","",MIN(AI169,AJ169))</f>
        <v/>
      </c>
      <c r="AL169" s="47" t="str">
        <f aca="false">IF($C169="","",IF(AK169="","Gris — menos de 3 fuentes",IF(AND(AK169&lt;Parámetros!$B$14,N169&lt;&gt;"",N(N169)&lt;Parámetros!$B$15,N(Y169)&gt;=60),"Gris — repetir observación",IF(AK169&gt;=Parámetros!$B$13,"Verde",IF(AK169&gt;=Parámetros!$B$14,"Amarillo","Rojo")))))</f>
        <v/>
      </c>
      <c r="AM169" s="47" t="str">
        <f aca="false">IF($C169="","",IF(AND(ISNUMBER(Y169),N(Y169)&lt;60),"Ejecución &lt; 60 %: rojo automático",IF(AND(ISNUMBER(AE169),N(AE169)&lt;80),"PIAR &lt; 80 %: máximo amarillo",IF(AND(ISNUMBER(AC169),N(AC169)&lt;50,N(O169)&gt;=2),"Observación &lt; 50: máximo amarillo",IF(AND(N169&lt;&gt;"",N(N169)&lt;Parámetros!$B$15),"κ &lt; 0,60: observación descartada, repetir","")))))</f>
        <v/>
      </c>
    </row>
    <row r="170" customFormat="false" ht="15" hidden="false" customHeight="fals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7" t="str">
        <f aca="false">IF(N(E170)&gt;0,MIN(100,F170/E170*100),"")</f>
        <v/>
      </c>
      <c r="Y170" s="47" t="str">
        <f aca="false">IF(N(G170)&gt;0,MIN(100,H170/G170*100),"")</f>
        <v/>
      </c>
      <c r="Z170" s="47" t="str">
        <f aca="false">IF(N(I170)&gt;0,MIN(100,J170/I170*100),"")</f>
        <v/>
      </c>
      <c r="AA170" s="47" t="str">
        <f aca="false">IF(K170="","",K170/24*100)</f>
        <v/>
      </c>
      <c r="AB170" s="47" t="str">
        <f aca="false">IF(L170="","",L170/3*100)</f>
        <v/>
      </c>
      <c r="AC170" s="47" t="str">
        <f aca="false">IF(OR(M170="",AND(N170&lt;&gt;"",N(N170)&lt;Parámetros!$B$15)),"",MAX(0,MIN(100,(M170-1)/4*100)))</f>
        <v/>
      </c>
      <c r="AD170" s="47" t="str">
        <f aca="false">IF(OR(P170="",N(Q170)=0),"",MAX(0,MIN(100,((Q170/(Q170+Parámetros!$B$16))*P170+(Parámetros!$B$16/(Q170+Parámetros!$B$16))*Parámetros!$B$17-0.1)/0.4*100)))</f>
        <v/>
      </c>
      <c r="AE170" s="47" t="str">
        <f aca="false">IF(N(R170)&gt;0,MIN(100,S170/R170*100),"")</f>
        <v/>
      </c>
      <c r="AF170" s="47" t="str">
        <f aca="false">IF(N(U170)&gt;0,MIN(100,T170/(U170*5)*100),"")</f>
        <v/>
      </c>
      <c r="AG170" s="47" t="str">
        <f aca="false">IF(OR(V170="",N(W170)&lt;10),"",(V170-1)/4*100)</f>
        <v/>
      </c>
      <c r="AH170" s="47" t="str">
        <f aca="false">IF($C170="","",COUNT(X170:AG170))</f>
        <v/>
      </c>
      <c r="AI170" s="47" t="str">
        <f aca="false">IF(OR($C170="",N(AH170)&lt;Parámetros!$B$18),"",(IF(ISNUMBER(X170),X170*Parámetros!$B$2,0)+IF(ISNUMBER(Y170),Y170*Parámetros!$B$3,0)+IF(ISNUMBER(Z170),Z170*Parámetros!$B$4,0)+IF(ISNUMBER(AA170),AA170*Parámetros!$B$5,0)+IF(ISNUMBER(AB170),AB170*Parámetros!$B$6,0)+IF(ISNUMBER(AC170),AC170*Parámetros!$B$7,0)+IF(ISNUMBER(AD170),AD170*Parámetros!$B$8,0)+IF(ISNUMBER(AE170),AE170*Parámetros!$B$9,0)+IF(ISNUMBER(AF170),AF170*Parámetros!$B$10,0)+IF(ISNUMBER(AG170),AG170*Parámetros!$B$11,0))/(IF(ISNUMBER(X170),Parámetros!$B$2,0)+IF(ISNUMBER(Y170),Parámetros!$B$3,0)+IF(ISNUMBER(Z170),Parámetros!$B$4,0)+IF(ISNUMBER(AA170),Parámetros!$B$5,0)+IF(ISNUMBER(AB170),Parámetros!$B$6,0)+IF(ISNUMBER(AC170),Parámetros!$B$7,0)+IF(ISNUMBER(AD170),Parámetros!$B$8,0)+IF(ISNUMBER(AE170),Parámetros!$B$9,0)+IF(ISNUMBER(AF170),Parámetros!$B$10,0)+IF(ISNUMBER(AG170),Parámetros!$B$11,0)))</f>
        <v/>
      </c>
      <c r="AJ170" s="47" t="n">
        <f aca="false">IF(AND(ISNUMBER(Y170),N(Y170)&lt;60),69.9,IF(OR(AND(ISNUMBER(AE170),N(AE170)&lt;80),AND(ISNUMBER(AC170),N(AC170)&lt;50,N(O170)&gt;=2)),84.9,100))</f>
        <v>100</v>
      </c>
      <c r="AK170" s="47" t="str">
        <f aca="false">IF(AI170="","",MIN(AI170,AJ170))</f>
        <v/>
      </c>
      <c r="AL170" s="47" t="str">
        <f aca="false">IF($C170="","",IF(AK170="","Gris — menos de 3 fuentes",IF(AND(AK170&lt;Parámetros!$B$14,N170&lt;&gt;"",N(N170)&lt;Parámetros!$B$15,N(Y170)&gt;=60),"Gris — repetir observación",IF(AK170&gt;=Parámetros!$B$13,"Verde",IF(AK170&gt;=Parámetros!$B$14,"Amarillo","Rojo")))))</f>
        <v/>
      </c>
      <c r="AM170" s="47" t="str">
        <f aca="false">IF($C170="","",IF(AND(ISNUMBER(Y170),N(Y170)&lt;60),"Ejecución &lt; 60 %: rojo automático",IF(AND(ISNUMBER(AE170),N(AE170)&lt;80),"PIAR &lt; 80 %: máximo amarillo",IF(AND(ISNUMBER(AC170),N(AC170)&lt;50,N(O170)&gt;=2),"Observación &lt; 50: máximo amarillo",IF(AND(N170&lt;&gt;"",N(N170)&lt;Parámetros!$B$15),"κ &lt; 0,60: observación descartada, repetir","")))))</f>
        <v/>
      </c>
    </row>
    <row r="171" customFormat="false" ht="15" hidden="false" customHeight="fals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7" t="str">
        <f aca="false">IF(N(E171)&gt;0,MIN(100,F171/E171*100),"")</f>
        <v/>
      </c>
      <c r="Y171" s="47" t="str">
        <f aca="false">IF(N(G171)&gt;0,MIN(100,H171/G171*100),"")</f>
        <v/>
      </c>
      <c r="Z171" s="47" t="str">
        <f aca="false">IF(N(I171)&gt;0,MIN(100,J171/I171*100),"")</f>
        <v/>
      </c>
      <c r="AA171" s="47" t="str">
        <f aca="false">IF(K171="","",K171/24*100)</f>
        <v/>
      </c>
      <c r="AB171" s="47" t="str">
        <f aca="false">IF(L171="","",L171/3*100)</f>
        <v/>
      </c>
      <c r="AC171" s="47" t="str">
        <f aca="false">IF(OR(M171="",AND(N171&lt;&gt;"",N(N171)&lt;Parámetros!$B$15)),"",MAX(0,MIN(100,(M171-1)/4*100)))</f>
        <v/>
      </c>
      <c r="AD171" s="47" t="str">
        <f aca="false">IF(OR(P171="",N(Q171)=0),"",MAX(0,MIN(100,((Q171/(Q171+Parámetros!$B$16))*P171+(Parámetros!$B$16/(Q171+Parámetros!$B$16))*Parámetros!$B$17-0.1)/0.4*100)))</f>
        <v/>
      </c>
      <c r="AE171" s="47" t="str">
        <f aca="false">IF(N(R171)&gt;0,MIN(100,S171/R171*100),"")</f>
        <v/>
      </c>
      <c r="AF171" s="47" t="str">
        <f aca="false">IF(N(U171)&gt;0,MIN(100,T171/(U171*5)*100),"")</f>
        <v/>
      </c>
      <c r="AG171" s="47" t="str">
        <f aca="false">IF(OR(V171="",N(W171)&lt;10),"",(V171-1)/4*100)</f>
        <v/>
      </c>
      <c r="AH171" s="47" t="str">
        <f aca="false">IF($C171="","",COUNT(X171:AG171))</f>
        <v/>
      </c>
      <c r="AI171" s="47" t="str">
        <f aca="false">IF(OR($C171="",N(AH171)&lt;Parámetros!$B$18),"",(IF(ISNUMBER(X171),X171*Parámetros!$B$2,0)+IF(ISNUMBER(Y171),Y171*Parámetros!$B$3,0)+IF(ISNUMBER(Z171),Z171*Parámetros!$B$4,0)+IF(ISNUMBER(AA171),AA171*Parámetros!$B$5,0)+IF(ISNUMBER(AB171),AB171*Parámetros!$B$6,0)+IF(ISNUMBER(AC171),AC171*Parámetros!$B$7,0)+IF(ISNUMBER(AD171),AD171*Parámetros!$B$8,0)+IF(ISNUMBER(AE171),AE171*Parámetros!$B$9,0)+IF(ISNUMBER(AF171),AF171*Parámetros!$B$10,0)+IF(ISNUMBER(AG171),AG171*Parámetros!$B$11,0))/(IF(ISNUMBER(X171),Parámetros!$B$2,0)+IF(ISNUMBER(Y171),Parámetros!$B$3,0)+IF(ISNUMBER(Z171),Parámetros!$B$4,0)+IF(ISNUMBER(AA171),Parámetros!$B$5,0)+IF(ISNUMBER(AB171),Parámetros!$B$6,0)+IF(ISNUMBER(AC171),Parámetros!$B$7,0)+IF(ISNUMBER(AD171),Parámetros!$B$8,0)+IF(ISNUMBER(AE171),Parámetros!$B$9,0)+IF(ISNUMBER(AF171),Parámetros!$B$10,0)+IF(ISNUMBER(AG171),Parámetros!$B$11,0)))</f>
        <v/>
      </c>
      <c r="AJ171" s="47" t="n">
        <f aca="false">IF(AND(ISNUMBER(Y171),N(Y171)&lt;60),69.9,IF(OR(AND(ISNUMBER(AE171),N(AE171)&lt;80),AND(ISNUMBER(AC171),N(AC171)&lt;50,N(O171)&gt;=2)),84.9,100))</f>
        <v>100</v>
      </c>
      <c r="AK171" s="47" t="str">
        <f aca="false">IF(AI171="","",MIN(AI171,AJ171))</f>
        <v/>
      </c>
      <c r="AL171" s="47" t="str">
        <f aca="false">IF($C171="","",IF(AK171="","Gris — menos de 3 fuentes",IF(AND(AK171&lt;Parámetros!$B$14,N171&lt;&gt;"",N(N171)&lt;Parámetros!$B$15,N(Y171)&gt;=60),"Gris — repetir observación",IF(AK171&gt;=Parámetros!$B$13,"Verde",IF(AK171&gt;=Parámetros!$B$14,"Amarillo","Rojo")))))</f>
        <v/>
      </c>
      <c r="AM171" s="47" t="str">
        <f aca="false">IF($C171="","",IF(AND(ISNUMBER(Y171),N(Y171)&lt;60),"Ejecución &lt; 60 %: rojo automático",IF(AND(ISNUMBER(AE171),N(AE171)&lt;80),"PIAR &lt; 80 %: máximo amarillo",IF(AND(ISNUMBER(AC171),N(AC171)&lt;50,N(O171)&gt;=2),"Observación &lt; 50: máximo amarillo",IF(AND(N171&lt;&gt;"",N(N171)&lt;Parámetros!$B$15),"κ &lt; 0,60: observación descartada, repetir","")))))</f>
        <v/>
      </c>
    </row>
    <row r="172" customFormat="false" ht="15" hidden="false" customHeight="fals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7" t="str">
        <f aca="false">IF(N(E172)&gt;0,MIN(100,F172/E172*100),"")</f>
        <v/>
      </c>
      <c r="Y172" s="47" t="str">
        <f aca="false">IF(N(G172)&gt;0,MIN(100,H172/G172*100),"")</f>
        <v/>
      </c>
      <c r="Z172" s="47" t="str">
        <f aca="false">IF(N(I172)&gt;0,MIN(100,J172/I172*100),"")</f>
        <v/>
      </c>
      <c r="AA172" s="47" t="str">
        <f aca="false">IF(K172="","",K172/24*100)</f>
        <v/>
      </c>
      <c r="AB172" s="47" t="str">
        <f aca="false">IF(L172="","",L172/3*100)</f>
        <v/>
      </c>
      <c r="AC172" s="47" t="str">
        <f aca="false">IF(OR(M172="",AND(N172&lt;&gt;"",N(N172)&lt;Parámetros!$B$15)),"",MAX(0,MIN(100,(M172-1)/4*100)))</f>
        <v/>
      </c>
      <c r="AD172" s="47" t="str">
        <f aca="false">IF(OR(P172="",N(Q172)=0),"",MAX(0,MIN(100,((Q172/(Q172+Parámetros!$B$16))*P172+(Parámetros!$B$16/(Q172+Parámetros!$B$16))*Parámetros!$B$17-0.1)/0.4*100)))</f>
        <v/>
      </c>
      <c r="AE172" s="47" t="str">
        <f aca="false">IF(N(R172)&gt;0,MIN(100,S172/R172*100),"")</f>
        <v/>
      </c>
      <c r="AF172" s="47" t="str">
        <f aca="false">IF(N(U172)&gt;0,MIN(100,T172/(U172*5)*100),"")</f>
        <v/>
      </c>
      <c r="AG172" s="47" t="str">
        <f aca="false">IF(OR(V172="",N(W172)&lt;10),"",(V172-1)/4*100)</f>
        <v/>
      </c>
      <c r="AH172" s="47" t="str">
        <f aca="false">IF($C172="","",COUNT(X172:AG172))</f>
        <v/>
      </c>
      <c r="AI172" s="47" t="str">
        <f aca="false">IF(OR($C172="",N(AH172)&lt;Parámetros!$B$18),"",(IF(ISNUMBER(X172),X172*Parámetros!$B$2,0)+IF(ISNUMBER(Y172),Y172*Parámetros!$B$3,0)+IF(ISNUMBER(Z172),Z172*Parámetros!$B$4,0)+IF(ISNUMBER(AA172),AA172*Parámetros!$B$5,0)+IF(ISNUMBER(AB172),AB172*Parámetros!$B$6,0)+IF(ISNUMBER(AC172),AC172*Parámetros!$B$7,0)+IF(ISNUMBER(AD172),AD172*Parámetros!$B$8,0)+IF(ISNUMBER(AE172),AE172*Parámetros!$B$9,0)+IF(ISNUMBER(AF172),AF172*Parámetros!$B$10,0)+IF(ISNUMBER(AG172),AG172*Parámetros!$B$11,0))/(IF(ISNUMBER(X172),Parámetros!$B$2,0)+IF(ISNUMBER(Y172),Parámetros!$B$3,0)+IF(ISNUMBER(Z172),Parámetros!$B$4,0)+IF(ISNUMBER(AA172),Parámetros!$B$5,0)+IF(ISNUMBER(AB172),Parámetros!$B$6,0)+IF(ISNUMBER(AC172),Parámetros!$B$7,0)+IF(ISNUMBER(AD172),Parámetros!$B$8,0)+IF(ISNUMBER(AE172),Parámetros!$B$9,0)+IF(ISNUMBER(AF172),Parámetros!$B$10,0)+IF(ISNUMBER(AG172),Parámetros!$B$11,0)))</f>
        <v/>
      </c>
      <c r="AJ172" s="47" t="n">
        <f aca="false">IF(AND(ISNUMBER(Y172),N(Y172)&lt;60),69.9,IF(OR(AND(ISNUMBER(AE172),N(AE172)&lt;80),AND(ISNUMBER(AC172),N(AC172)&lt;50,N(O172)&gt;=2)),84.9,100))</f>
        <v>100</v>
      </c>
      <c r="AK172" s="47" t="str">
        <f aca="false">IF(AI172="","",MIN(AI172,AJ172))</f>
        <v/>
      </c>
      <c r="AL172" s="47" t="str">
        <f aca="false">IF($C172="","",IF(AK172="","Gris — menos de 3 fuentes",IF(AND(AK172&lt;Parámetros!$B$14,N172&lt;&gt;"",N(N172)&lt;Parámetros!$B$15,N(Y172)&gt;=60),"Gris — repetir observación",IF(AK172&gt;=Parámetros!$B$13,"Verde",IF(AK172&gt;=Parámetros!$B$14,"Amarillo","Rojo")))))</f>
        <v/>
      </c>
      <c r="AM172" s="47" t="str">
        <f aca="false">IF($C172="","",IF(AND(ISNUMBER(Y172),N(Y172)&lt;60),"Ejecución &lt; 60 %: rojo automático",IF(AND(ISNUMBER(AE172),N(AE172)&lt;80),"PIAR &lt; 80 %: máximo amarillo",IF(AND(ISNUMBER(AC172),N(AC172)&lt;50,N(O172)&gt;=2),"Observación &lt; 50: máximo amarillo",IF(AND(N172&lt;&gt;"",N(N172)&lt;Parámetros!$B$15),"κ &lt; 0,60: observación descartada, repetir","")))))</f>
        <v/>
      </c>
    </row>
    <row r="173" customFormat="false" ht="15" hidden="false" customHeight="fals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7" t="str">
        <f aca="false">IF(N(E173)&gt;0,MIN(100,F173/E173*100),"")</f>
        <v/>
      </c>
      <c r="Y173" s="47" t="str">
        <f aca="false">IF(N(G173)&gt;0,MIN(100,H173/G173*100),"")</f>
        <v/>
      </c>
      <c r="Z173" s="47" t="str">
        <f aca="false">IF(N(I173)&gt;0,MIN(100,J173/I173*100),"")</f>
        <v/>
      </c>
      <c r="AA173" s="47" t="str">
        <f aca="false">IF(K173="","",K173/24*100)</f>
        <v/>
      </c>
      <c r="AB173" s="47" t="str">
        <f aca="false">IF(L173="","",L173/3*100)</f>
        <v/>
      </c>
      <c r="AC173" s="47" t="str">
        <f aca="false">IF(OR(M173="",AND(N173&lt;&gt;"",N(N173)&lt;Parámetros!$B$15)),"",MAX(0,MIN(100,(M173-1)/4*100)))</f>
        <v/>
      </c>
      <c r="AD173" s="47" t="str">
        <f aca="false">IF(OR(P173="",N(Q173)=0),"",MAX(0,MIN(100,((Q173/(Q173+Parámetros!$B$16))*P173+(Parámetros!$B$16/(Q173+Parámetros!$B$16))*Parámetros!$B$17-0.1)/0.4*100)))</f>
        <v/>
      </c>
      <c r="AE173" s="47" t="str">
        <f aca="false">IF(N(R173)&gt;0,MIN(100,S173/R173*100),"")</f>
        <v/>
      </c>
      <c r="AF173" s="47" t="str">
        <f aca="false">IF(N(U173)&gt;0,MIN(100,T173/(U173*5)*100),"")</f>
        <v/>
      </c>
      <c r="AG173" s="47" t="str">
        <f aca="false">IF(OR(V173="",N(W173)&lt;10),"",(V173-1)/4*100)</f>
        <v/>
      </c>
      <c r="AH173" s="47" t="str">
        <f aca="false">IF($C173="","",COUNT(X173:AG173))</f>
        <v/>
      </c>
      <c r="AI173" s="47" t="str">
        <f aca="false">IF(OR($C173="",N(AH173)&lt;Parámetros!$B$18),"",(IF(ISNUMBER(X173),X173*Parámetros!$B$2,0)+IF(ISNUMBER(Y173),Y173*Parámetros!$B$3,0)+IF(ISNUMBER(Z173),Z173*Parámetros!$B$4,0)+IF(ISNUMBER(AA173),AA173*Parámetros!$B$5,0)+IF(ISNUMBER(AB173),AB173*Parámetros!$B$6,0)+IF(ISNUMBER(AC173),AC173*Parámetros!$B$7,0)+IF(ISNUMBER(AD173),AD173*Parámetros!$B$8,0)+IF(ISNUMBER(AE173),AE173*Parámetros!$B$9,0)+IF(ISNUMBER(AF173),AF173*Parámetros!$B$10,0)+IF(ISNUMBER(AG173),AG173*Parámetros!$B$11,0))/(IF(ISNUMBER(X173),Parámetros!$B$2,0)+IF(ISNUMBER(Y173),Parámetros!$B$3,0)+IF(ISNUMBER(Z173),Parámetros!$B$4,0)+IF(ISNUMBER(AA173),Parámetros!$B$5,0)+IF(ISNUMBER(AB173),Parámetros!$B$6,0)+IF(ISNUMBER(AC173),Parámetros!$B$7,0)+IF(ISNUMBER(AD173),Parámetros!$B$8,0)+IF(ISNUMBER(AE173),Parámetros!$B$9,0)+IF(ISNUMBER(AF173),Parámetros!$B$10,0)+IF(ISNUMBER(AG173),Parámetros!$B$11,0)))</f>
        <v/>
      </c>
      <c r="AJ173" s="47" t="n">
        <f aca="false">IF(AND(ISNUMBER(Y173),N(Y173)&lt;60),69.9,IF(OR(AND(ISNUMBER(AE173),N(AE173)&lt;80),AND(ISNUMBER(AC173),N(AC173)&lt;50,N(O173)&gt;=2)),84.9,100))</f>
        <v>100</v>
      </c>
      <c r="AK173" s="47" t="str">
        <f aca="false">IF(AI173="","",MIN(AI173,AJ173))</f>
        <v/>
      </c>
      <c r="AL173" s="47" t="str">
        <f aca="false">IF($C173="","",IF(AK173="","Gris — menos de 3 fuentes",IF(AND(AK173&lt;Parámetros!$B$14,N173&lt;&gt;"",N(N173)&lt;Parámetros!$B$15,N(Y173)&gt;=60),"Gris — repetir observación",IF(AK173&gt;=Parámetros!$B$13,"Verde",IF(AK173&gt;=Parámetros!$B$14,"Amarillo","Rojo")))))</f>
        <v/>
      </c>
      <c r="AM173" s="47" t="str">
        <f aca="false">IF($C173="","",IF(AND(ISNUMBER(Y173),N(Y173)&lt;60),"Ejecución &lt; 60 %: rojo automático",IF(AND(ISNUMBER(AE173),N(AE173)&lt;80),"PIAR &lt; 80 %: máximo amarillo",IF(AND(ISNUMBER(AC173),N(AC173)&lt;50,N(O173)&gt;=2),"Observación &lt; 50: máximo amarillo",IF(AND(N173&lt;&gt;"",N(N173)&lt;Parámetros!$B$15),"κ &lt; 0,60: observación descartada, repetir","")))))</f>
        <v/>
      </c>
    </row>
    <row r="174" customFormat="false" ht="15" hidden="false" customHeight="fals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7" t="str">
        <f aca="false">IF(N(E174)&gt;0,MIN(100,F174/E174*100),"")</f>
        <v/>
      </c>
      <c r="Y174" s="47" t="str">
        <f aca="false">IF(N(G174)&gt;0,MIN(100,H174/G174*100),"")</f>
        <v/>
      </c>
      <c r="Z174" s="47" t="str">
        <f aca="false">IF(N(I174)&gt;0,MIN(100,J174/I174*100),"")</f>
        <v/>
      </c>
      <c r="AA174" s="47" t="str">
        <f aca="false">IF(K174="","",K174/24*100)</f>
        <v/>
      </c>
      <c r="AB174" s="47" t="str">
        <f aca="false">IF(L174="","",L174/3*100)</f>
        <v/>
      </c>
      <c r="AC174" s="47" t="str">
        <f aca="false">IF(OR(M174="",AND(N174&lt;&gt;"",N(N174)&lt;Parámetros!$B$15)),"",MAX(0,MIN(100,(M174-1)/4*100)))</f>
        <v/>
      </c>
      <c r="AD174" s="47" t="str">
        <f aca="false">IF(OR(P174="",N(Q174)=0),"",MAX(0,MIN(100,((Q174/(Q174+Parámetros!$B$16))*P174+(Parámetros!$B$16/(Q174+Parámetros!$B$16))*Parámetros!$B$17-0.1)/0.4*100)))</f>
        <v/>
      </c>
      <c r="AE174" s="47" t="str">
        <f aca="false">IF(N(R174)&gt;0,MIN(100,S174/R174*100),"")</f>
        <v/>
      </c>
      <c r="AF174" s="47" t="str">
        <f aca="false">IF(N(U174)&gt;0,MIN(100,T174/(U174*5)*100),"")</f>
        <v/>
      </c>
      <c r="AG174" s="47" t="str">
        <f aca="false">IF(OR(V174="",N(W174)&lt;10),"",(V174-1)/4*100)</f>
        <v/>
      </c>
      <c r="AH174" s="47" t="str">
        <f aca="false">IF($C174="","",COUNT(X174:AG174))</f>
        <v/>
      </c>
      <c r="AI174" s="47" t="str">
        <f aca="false">IF(OR($C174="",N(AH174)&lt;Parámetros!$B$18),"",(IF(ISNUMBER(X174),X174*Parámetros!$B$2,0)+IF(ISNUMBER(Y174),Y174*Parámetros!$B$3,0)+IF(ISNUMBER(Z174),Z174*Parámetros!$B$4,0)+IF(ISNUMBER(AA174),AA174*Parámetros!$B$5,0)+IF(ISNUMBER(AB174),AB174*Parámetros!$B$6,0)+IF(ISNUMBER(AC174),AC174*Parámetros!$B$7,0)+IF(ISNUMBER(AD174),AD174*Parámetros!$B$8,0)+IF(ISNUMBER(AE174),AE174*Parámetros!$B$9,0)+IF(ISNUMBER(AF174),AF174*Parámetros!$B$10,0)+IF(ISNUMBER(AG174),AG174*Parámetros!$B$11,0))/(IF(ISNUMBER(X174),Parámetros!$B$2,0)+IF(ISNUMBER(Y174),Parámetros!$B$3,0)+IF(ISNUMBER(Z174),Parámetros!$B$4,0)+IF(ISNUMBER(AA174),Parámetros!$B$5,0)+IF(ISNUMBER(AB174),Parámetros!$B$6,0)+IF(ISNUMBER(AC174),Parámetros!$B$7,0)+IF(ISNUMBER(AD174),Parámetros!$B$8,0)+IF(ISNUMBER(AE174),Parámetros!$B$9,0)+IF(ISNUMBER(AF174),Parámetros!$B$10,0)+IF(ISNUMBER(AG174),Parámetros!$B$11,0)))</f>
        <v/>
      </c>
      <c r="AJ174" s="47" t="n">
        <f aca="false">IF(AND(ISNUMBER(Y174),N(Y174)&lt;60),69.9,IF(OR(AND(ISNUMBER(AE174),N(AE174)&lt;80),AND(ISNUMBER(AC174),N(AC174)&lt;50,N(O174)&gt;=2)),84.9,100))</f>
        <v>100</v>
      </c>
      <c r="AK174" s="47" t="str">
        <f aca="false">IF(AI174="","",MIN(AI174,AJ174))</f>
        <v/>
      </c>
      <c r="AL174" s="47" t="str">
        <f aca="false">IF($C174="","",IF(AK174="","Gris — menos de 3 fuentes",IF(AND(AK174&lt;Parámetros!$B$14,N174&lt;&gt;"",N(N174)&lt;Parámetros!$B$15,N(Y174)&gt;=60),"Gris — repetir observación",IF(AK174&gt;=Parámetros!$B$13,"Verde",IF(AK174&gt;=Parámetros!$B$14,"Amarillo","Rojo")))))</f>
        <v/>
      </c>
      <c r="AM174" s="47" t="str">
        <f aca="false">IF($C174="","",IF(AND(ISNUMBER(Y174),N(Y174)&lt;60),"Ejecución &lt; 60 %: rojo automático",IF(AND(ISNUMBER(AE174),N(AE174)&lt;80),"PIAR &lt; 80 %: máximo amarillo",IF(AND(ISNUMBER(AC174),N(AC174)&lt;50,N(O174)&gt;=2),"Observación &lt; 50: máximo amarillo",IF(AND(N174&lt;&gt;"",N(N174)&lt;Parámetros!$B$15),"κ &lt; 0,60: observación descartada, repetir","")))))</f>
        <v/>
      </c>
    </row>
    <row r="175" customFormat="false" ht="15" hidden="false" customHeight="fals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7" t="str">
        <f aca="false">IF(N(E175)&gt;0,MIN(100,F175/E175*100),"")</f>
        <v/>
      </c>
      <c r="Y175" s="47" t="str">
        <f aca="false">IF(N(G175)&gt;0,MIN(100,H175/G175*100),"")</f>
        <v/>
      </c>
      <c r="Z175" s="47" t="str">
        <f aca="false">IF(N(I175)&gt;0,MIN(100,J175/I175*100),"")</f>
        <v/>
      </c>
      <c r="AA175" s="47" t="str">
        <f aca="false">IF(K175="","",K175/24*100)</f>
        <v/>
      </c>
      <c r="AB175" s="47" t="str">
        <f aca="false">IF(L175="","",L175/3*100)</f>
        <v/>
      </c>
      <c r="AC175" s="47" t="str">
        <f aca="false">IF(OR(M175="",AND(N175&lt;&gt;"",N(N175)&lt;Parámetros!$B$15)),"",MAX(0,MIN(100,(M175-1)/4*100)))</f>
        <v/>
      </c>
      <c r="AD175" s="47" t="str">
        <f aca="false">IF(OR(P175="",N(Q175)=0),"",MAX(0,MIN(100,((Q175/(Q175+Parámetros!$B$16))*P175+(Parámetros!$B$16/(Q175+Parámetros!$B$16))*Parámetros!$B$17-0.1)/0.4*100)))</f>
        <v/>
      </c>
      <c r="AE175" s="47" t="str">
        <f aca="false">IF(N(R175)&gt;0,MIN(100,S175/R175*100),"")</f>
        <v/>
      </c>
      <c r="AF175" s="47" t="str">
        <f aca="false">IF(N(U175)&gt;0,MIN(100,T175/(U175*5)*100),"")</f>
        <v/>
      </c>
      <c r="AG175" s="47" t="str">
        <f aca="false">IF(OR(V175="",N(W175)&lt;10),"",(V175-1)/4*100)</f>
        <v/>
      </c>
      <c r="AH175" s="47" t="str">
        <f aca="false">IF($C175="","",COUNT(X175:AG175))</f>
        <v/>
      </c>
      <c r="AI175" s="47" t="str">
        <f aca="false">IF(OR($C175="",N(AH175)&lt;Parámetros!$B$18),"",(IF(ISNUMBER(X175),X175*Parámetros!$B$2,0)+IF(ISNUMBER(Y175),Y175*Parámetros!$B$3,0)+IF(ISNUMBER(Z175),Z175*Parámetros!$B$4,0)+IF(ISNUMBER(AA175),AA175*Parámetros!$B$5,0)+IF(ISNUMBER(AB175),AB175*Parámetros!$B$6,0)+IF(ISNUMBER(AC175),AC175*Parámetros!$B$7,0)+IF(ISNUMBER(AD175),AD175*Parámetros!$B$8,0)+IF(ISNUMBER(AE175),AE175*Parámetros!$B$9,0)+IF(ISNUMBER(AF175),AF175*Parámetros!$B$10,0)+IF(ISNUMBER(AG175),AG175*Parámetros!$B$11,0))/(IF(ISNUMBER(X175),Parámetros!$B$2,0)+IF(ISNUMBER(Y175),Parámetros!$B$3,0)+IF(ISNUMBER(Z175),Parámetros!$B$4,0)+IF(ISNUMBER(AA175),Parámetros!$B$5,0)+IF(ISNUMBER(AB175),Parámetros!$B$6,0)+IF(ISNUMBER(AC175),Parámetros!$B$7,0)+IF(ISNUMBER(AD175),Parámetros!$B$8,0)+IF(ISNUMBER(AE175),Parámetros!$B$9,0)+IF(ISNUMBER(AF175),Parámetros!$B$10,0)+IF(ISNUMBER(AG175),Parámetros!$B$11,0)))</f>
        <v/>
      </c>
      <c r="AJ175" s="47" t="n">
        <f aca="false">IF(AND(ISNUMBER(Y175),N(Y175)&lt;60),69.9,IF(OR(AND(ISNUMBER(AE175),N(AE175)&lt;80),AND(ISNUMBER(AC175),N(AC175)&lt;50,N(O175)&gt;=2)),84.9,100))</f>
        <v>100</v>
      </c>
      <c r="AK175" s="47" t="str">
        <f aca="false">IF(AI175="","",MIN(AI175,AJ175))</f>
        <v/>
      </c>
      <c r="AL175" s="47" t="str">
        <f aca="false">IF($C175="","",IF(AK175="","Gris — menos de 3 fuentes",IF(AND(AK175&lt;Parámetros!$B$14,N175&lt;&gt;"",N(N175)&lt;Parámetros!$B$15,N(Y175)&gt;=60),"Gris — repetir observación",IF(AK175&gt;=Parámetros!$B$13,"Verde",IF(AK175&gt;=Parámetros!$B$14,"Amarillo","Rojo")))))</f>
        <v/>
      </c>
      <c r="AM175" s="47" t="str">
        <f aca="false">IF($C175="","",IF(AND(ISNUMBER(Y175),N(Y175)&lt;60),"Ejecución &lt; 60 %: rojo automático",IF(AND(ISNUMBER(AE175),N(AE175)&lt;80),"PIAR &lt; 80 %: máximo amarillo",IF(AND(ISNUMBER(AC175),N(AC175)&lt;50,N(O175)&gt;=2),"Observación &lt; 50: máximo amarillo",IF(AND(N175&lt;&gt;"",N(N175)&lt;Parámetros!$B$15),"κ &lt; 0,60: observación descartada, repetir","")))))</f>
        <v/>
      </c>
    </row>
    <row r="176" customFormat="false" ht="15" hidden="false" customHeight="fals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7" t="str">
        <f aca="false">IF(N(E176)&gt;0,MIN(100,F176/E176*100),"")</f>
        <v/>
      </c>
      <c r="Y176" s="47" t="str">
        <f aca="false">IF(N(G176)&gt;0,MIN(100,H176/G176*100),"")</f>
        <v/>
      </c>
      <c r="Z176" s="47" t="str">
        <f aca="false">IF(N(I176)&gt;0,MIN(100,J176/I176*100),"")</f>
        <v/>
      </c>
      <c r="AA176" s="47" t="str">
        <f aca="false">IF(K176="","",K176/24*100)</f>
        <v/>
      </c>
      <c r="AB176" s="47" t="str">
        <f aca="false">IF(L176="","",L176/3*100)</f>
        <v/>
      </c>
      <c r="AC176" s="47" t="str">
        <f aca="false">IF(OR(M176="",AND(N176&lt;&gt;"",N(N176)&lt;Parámetros!$B$15)),"",MAX(0,MIN(100,(M176-1)/4*100)))</f>
        <v/>
      </c>
      <c r="AD176" s="47" t="str">
        <f aca="false">IF(OR(P176="",N(Q176)=0),"",MAX(0,MIN(100,((Q176/(Q176+Parámetros!$B$16))*P176+(Parámetros!$B$16/(Q176+Parámetros!$B$16))*Parámetros!$B$17-0.1)/0.4*100)))</f>
        <v/>
      </c>
      <c r="AE176" s="47" t="str">
        <f aca="false">IF(N(R176)&gt;0,MIN(100,S176/R176*100),"")</f>
        <v/>
      </c>
      <c r="AF176" s="47" t="str">
        <f aca="false">IF(N(U176)&gt;0,MIN(100,T176/(U176*5)*100),"")</f>
        <v/>
      </c>
      <c r="AG176" s="47" t="str">
        <f aca="false">IF(OR(V176="",N(W176)&lt;10),"",(V176-1)/4*100)</f>
        <v/>
      </c>
      <c r="AH176" s="47" t="str">
        <f aca="false">IF($C176="","",COUNT(X176:AG176))</f>
        <v/>
      </c>
      <c r="AI176" s="47" t="str">
        <f aca="false">IF(OR($C176="",N(AH176)&lt;Parámetros!$B$18),"",(IF(ISNUMBER(X176),X176*Parámetros!$B$2,0)+IF(ISNUMBER(Y176),Y176*Parámetros!$B$3,0)+IF(ISNUMBER(Z176),Z176*Parámetros!$B$4,0)+IF(ISNUMBER(AA176),AA176*Parámetros!$B$5,0)+IF(ISNUMBER(AB176),AB176*Parámetros!$B$6,0)+IF(ISNUMBER(AC176),AC176*Parámetros!$B$7,0)+IF(ISNUMBER(AD176),AD176*Parámetros!$B$8,0)+IF(ISNUMBER(AE176),AE176*Parámetros!$B$9,0)+IF(ISNUMBER(AF176),AF176*Parámetros!$B$10,0)+IF(ISNUMBER(AG176),AG176*Parámetros!$B$11,0))/(IF(ISNUMBER(X176),Parámetros!$B$2,0)+IF(ISNUMBER(Y176),Parámetros!$B$3,0)+IF(ISNUMBER(Z176),Parámetros!$B$4,0)+IF(ISNUMBER(AA176),Parámetros!$B$5,0)+IF(ISNUMBER(AB176),Parámetros!$B$6,0)+IF(ISNUMBER(AC176),Parámetros!$B$7,0)+IF(ISNUMBER(AD176),Parámetros!$B$8,0)+IF(ISNUMBER(AE176),Parámetros!$B$9,0)+IF(ISNUMBER(AF176),Parámetros!$B$10,0)+IF(ISNUMBER(AG176),Parámetros!$B$11,0)))</f>
        <v/>
      </c>
      <c r="AJ176" s="47" t="n">
        <f aca="false">IF(AND(ISNUMBER(Y176),N(Y176)&lt;60),69.9,IF(OR(AND(ISNUMBER(AE176),N(AE176)&lt;80),AND(ISNUMBER(AC176),N(AC176)&lt;50,N(O176)&gt;=2)),84.9,100))</f>
        <v>100</v>
      </c>
      <c r="AK176" s="47" t="str">
        <f aca="false">IF(AI176="","",MIN(AI176,AJ176))</f>
        <v/>
      </c>
      <c r="AL176" s="47" t="str">
        <f aca="false">IF($C176="","",IF(AK176="","Gris — menos de 3 fuentes",IF(AND(AK176&lt;Parámetros!$B$14,N176&lt;&gt;"",N(N176)&lt;Parámetros!$B$15,N(Y176)&gt;=60),"Gris — repetir observación",IF(AK176&gt;=Parámetros!$B$13,"Verde",IF(AK176&gt;=Parámetros!$B$14,"Amarillo","Rojo")))))</f>
        <v/>
      </c>
      <c r="AM176" s="47" t="str">
        <f aca="false">IF($C176="","",IF(AND(ISNUMBER(Y176),N(Y176)&lt;60),"Ejecución &lt; 60 %: rojo automático",IF(AND(ISNUMBER(AE176),N(AE176)&lt;80),"PIAR &lt; 80 %: máximo amarillo",IF(AND(ISNUMBER(AC176),N(AC176)&lt;50,N(O176)&gt;=2),"Observación &lt; 50: máximo amarillo",IF(AND(N176&lt;&gt;"",N(N176)&lt;Parámetros!$B$15),"κ &lt; 0,60: observación descartada, repetir","")))))</f>
        <v/>
      </c>
    </row>
    <row r="177" customFormat="false" ht="15" hidden="false" customHeight="fals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7" t="str">
        <f aca="false">IF(N(E177)&gt;0,MIN(100,F177/E177*100),"")</f>
        <v/>
      </c>
      <c r="Y177" s="47" t="str">
        <f aca="false">IF(N(G177)&gt;0,MIN(100,H177/G177*100),"")</f>
        <v/>
      </c>
      <c r="Z177" s="47" t="str">
        <f aca="false">IF(N(I177)&gt;0,MIN(100,J177/I177*100),"")</f>
        <v/>
      </c>
      <c r="AA177" s="47" t="str">
        <f aca="false">IF(K177="","",K177/24*100)</f>
        <v/>
      </c>
      <c r="AB177" s="47" t="str">
        <f aca="false">IF(L177="","",L177/3*100)</f>
        <v/>
      </c>
      <c r="AC177" s="47" t="str">
        <f aca="false">IF(OR(M177="",AND(N177&lt;&gt;"",N(N177)&lt;Parámetros!$B$15)),"",MAX(0,MIN(100,(M177-1)/4*100)))</f>
        <v/>
      </c>
      <c r="AD177" s="47" t="str">
        <f aca="false">IF(OR(P177="",N(Q177)=0),"",MAX(0,MIN(100,((Q177/(Q177+Parámetros!$B$16))*P177+(Parámetros!$B$16/(Q177+Parámetros!$B$16))*Parámetros!$B$17-0.1)/0.4*100)))</f>
        <v/>
      </c>
      <c r="AE177" s="47" t="str">
        <f aca="false">IF(N(R177)&gt;0,MIN(100,S177/R177*100),"")</f>
        <v/>
      </c>
      <c r="AF177" s="47" t="str">
        <f aca="false">IF(N(U177)&gt;0,MIN(100,T177/(U177*5)*100),"")</f>
        <v/>
      </c>
      <c r="AG177" s="47" t="str">
        <f aca="false">IF(OR(V177="",N(W177)&lt;10),"",(V177-1)/4*100)</f>
        <v/>
      </c>
      <c r="AH177" s="47" t="str">
        <f aca="false">IF($C177="","",COUNT(X177:AG177))</f>
        <v/>
      </c>
      <c r="AI177" s="47" t="str">
        <f aca="false">IF(OR($C177="",N(AH177)&lt;Parámetros!$B$18),"",(IF(ISNUMBER(X177),X177*Parámetros!$B$2,0)+IF(ISNUMBER(Y177),Y177*Parámetros!$B$3,0)+IF(ISNUMBER(Z177),Z177*Parámetros!$B$4,0)+IF(ISNUMBER(AA177),AA177*Parámetros!$B$5,0)+IF(ISNUMBER(AB177),AB177*Parámetros!$B$6,0)+IF(ISNUMBER(AC177),AC177*Parámetros!$B$7,0)+IF(ISNUMBER(AD177),AD177*Parámetros!$B$8,0)+IF(ISNUMBER(AE177),AE177*Parámetros!$B$9,0)+IF(ISNUMBER(AF177),AF177*Parámetros!$B$10,0)+IF(ISNUMBER(AG177),AG177*Parámetros!$B$11,0))/(IF(ISNUMBER(X177),Parámetros!$B$2,0)+IF(ISNUMBER(Y177),Parámetros!$B$3,0)+IF(ISNUMBER(Z177),Parámetros!$B$4,0)+IF(ISNUMBER(AA177),Parámetros!$B$5,0)+IF(ISNUMBER(AB177),Parámetros!$B$6,0)+IF(ISNUMBER(AC177),Parámetros!$B$7,0)+IF(ISNUMBER(AD177),Parámetros!$B$8,0)+IF(ISNUMBER(AE177),Parámetros!$B$9,0)+IF(ISNUMBER(AF177),Parámetros!$B$10,0)+IF(ISNUMBER(AG177),Parámetros!$B$11,0)))</f>
        <v/>
      </c>
      <c r="AJ177" s="47" t="n">
        <f aca="false">IF(AND(ISNUMBER(Y177),N(Y177)&lt;60),69.9,IF(OR(AND(ISNUMBER(AE177),N(AE177)&lt;80),AND(ISNUMBER(AC177),N(AC177)&lt;50,N(O177)&gt;=2)),84.9,100))</f>
        <v>100</v>
      </c>
      <c r="AK177" s="47" t="str">
        <f aca="false">IF(AI177="","",MIN(AI177,AJ177))</f>
        <v/>
      </c>
      <c r="AL177" s="47" t="str">
        <f aca="false">IF($C177="","",IF(AK177="","Gris — menos de 3 fuentes",IF(AND(AK177&lt;Parámetros!$B$14,N177&lt;&gt;"",N(N177)&lt;Parámetros!$B$15,N(Y177)&gt;=60),"Gris — repetir observación",IF(AK177&gt;=Parámetros!$B$13,"Verde",IF(AK177&gt;=Parámetros!$B$14,"Amarillo","Rojo")))))</f>
        <v/>
      </c>
      <c r="AM177" s="47" t="str">
        <f aca="false">IF($C177="","",IF(AND(ISNUMBER(Y177),N(Y177)&lt;60),"Ejecución &lt; 60 %: rojo automático",IF(AND(ISNUMBER(AE177),N(AE177)&lt;80),"PIAR &lt; 80 %: máximo amarillo",IF(AND(ISNUMBER(AC177),N(AC177)&lt;50,N(O177)&gt;=2),"Observación &lt; 50: máximo amarillo",IF(AND(N177&lt;&gt;"",N(N177)&lt;Parámetros!$B$15),"κ &lt; 0,60: observación descartada, repetir","")))))</f>
        <v/>
      </c>
    </row>
    <row r="178" customFormat="false" ht="15" hidden="false" customHeight="fals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7" t="str">
        <f aca="false">IF(N(E178)&gt;0,MIN(100,F178/E178*100),"")</f>
        <v/>
      </c>
      <c r="Y178" s="47" t="str">
        <f aca="false">IF(N(G178)&gt;0,MIN(100,H178/G178*100),"")</f>
        <v/>
      </c>
      <c r="Z178" s="47" t="str">
        <f aca="false">IF(N(I178)&gt;0,MIN(100,J178/I178*100),"")</f>
        <v/>
      </c>
      <c r="AA178" s="47" t="str">
        <f aca="false">IF(K178="","",K178/24*100)</f>
        <v/>
      </c>
      <c r="AB178" s="47" t="str">
        <f aca="false">IF(L178="","",L178/3*100)</f>
        <v/>
      </c>
      <c r="AC178" s="47" t="str">
        <f aca="false">IF(OR(M178="",AND(N178&lt;&gt;"",N(N178)&lt;Parámetros!$B$15)),"",MAX(0,MIN(100,(M178-1)/4*100)))</f>
        <v/>
      </c>
      <c r="AD178" s="47" t="str">
        <f aca="false">IF(OR(P178="",N(Q178)=0),"",MAX(0,MIN(100,((Q178/(Q178+Parámetros!$B$16))*P178+(Parámetros!$B$16/(Q178+Parámetros!$B$16))*Parámetros!$B$17-0.1)/0.4*100)))</f>
        <v/>
      </c>
      <c r="AE178" s="47" t="str">
        <f aca="false">IF(N(R178)&gt;0,MIN(100,S178/R178*100),"")</f>
        <v/>
      </c>
      <c r="AF178" s="47" t="str">
        <f aca="false">IF(N(U178)&gt;0,MIN(100,T178/(U178*5)*100),"")</f>
        <v/>
      </c>
      <c r="AG178" s="47" t="str">
        <f aca="false">IF(OR(V178="",N(W178)&lt;10),"",(V178-1)/4*100)</f>
        <v/>
      </c>
      <c r="AH178" s="47" t="str">
        <f aca="false">IF($C178="","",COUNT(X178:AG178))</f>
        <v/>
      </c>
      <c r="AI178" s="47" t="str">
        <f aca="false">IF(OR($C178="",N(AH178)&lt;Parámetros!$B$18),"",(IF(ISNUMBER(X178),X178*Parámetros!$B$2,0)+IF(ISNUMBER(Y178),Y178*Parámetros!$B$3,0)+IF(ISNUMBER(Z178),Z178*Parámetros!$B$4,0)+IF(ISNUMBER(AA178),AA178*Parámetros!$B$5,0)+IF(ISNUMBER(AB178),AB178*Parámetros!$B$6,0)+IF(ISNUMBER(AC178),AC178*Parámetros!$B$7,0)+IF(ISNUMBER(AD178),AD178*Parámetros!$B$8,0)+IF(ISNUMBER(AE178),AE178*Parámetros!$B$9,0)+IF(ISNUMBER(AF178),AF178*Parámetros!$B$10,0)+IF(ISNUMBER(AG178),AG178*Parámetros!$B$11,0))/(IF(ISNUMBER(X178),Parámetros!$B$2,0)+IF(ISNUMBER(Y178),Parámetros!$B$3,0)+IF(ISNUMBER(Z178),Parámetros!$B$4,0)+IF(ISNUMBER(AA178),Parámetros!$B$5,0)+IF(ISNUMBER(AB178),Parámetros!$B$6,0)+IF(ISNUMBER(AC178),Parámetros!$B$7,0)+IF(ISNUMBER(AD178),Parámetros!$B$8,0)+IF(ISNUMBER(AE178),Parámetros!$B$9,0)+IF(ISNUMBER(AF178),Parámetros!$B$10,0)+IF(ISNUMBER(AG178),Parámetros!$B$11,0)))</f>
        <v/>
      </c>
      <c r="AJ178" s="47" t="n">
        <f aca="false">IF(AND(ISNUMBER(Y178),N(Y178)&lt;60),69.9,IF(OR(AND(ISNUMBER(AE178),N(AE178)&lt;80),AND(ISNUMBER(AC178),N(AC178)&lt;50,N(O178)&gt;=2)),84.9,100))</f>
        <v>100</v>
      </c>
      <c r="AK178" s="47" t="str">
        <f aca="false">IF(AI178="","",MIN(AI178,AJ178))</f>
        <v/>
      </c>
      <c r="AL178" s="47" t="str">
        <f aca="false">IF($C178="","",IF(AK178="","Gris — menos de 3 fuentes",IF(AND(AK178&lt;Parámetros!$B$14,N178&lt;&gt;"",N(N178)&lt;Parámetros!$B$15,N(Y178)&gt;=60),"Gris — repetir observación",IF(AK178&gt;=Parámetros!$B$13,"Verde",IF(AK178&gt;=Parámetros!$B$14,"Amarillo","Rojo")))))</f>
        <v/>
      </c>
      <c r="AM178" s="47" t="str">
        <f aca="false">IF($C178="","",IF(AND(ISNUMBER(Y178),N(Y178)&lt;60),"Ejecución &lt; 60 %: rojo automático",IF(AND(ISNUMBER(AE178),N(AE178)&lt;80),"PIAR &lt; 80 %: máximo amarillo",IF(AND(ISNUMBER(AC178),N(AC178)&lt;50,N(O178)&gt;=2),"Observación &lt; 50: máximo amarillo",IF(AND(N178&lt;&gt;"",N(N178)&lt;Parámetros!$B$15),"κ &lt; 0,60: observación descartada, repetir","")))))</f>
        <v/>
      </c>
    </row>
    <row r="179" customFormat="false" ht="15" hidden="false" customHeight="fals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7" t="str">
        <f aca="false">IF(N(E179)&gt;0,MIN(100,F179/E179*100),"")</f>
        <v/>
      </c>
      <c r="Y179" s="47" t="str">
        <f aca="false">IF(N(G179)&gt;0,MIN(100,H179/G179*100),"")</f>
        <v/>
      </c>
      <c r="Z179" s="47" t="str">
        <f aca="false">IF(N(I179)&gt;0,MIN(100,J179/I179*100),"")</f>
        <v/>
      </c>
      <c r="AA179" s="47" t="str">
        <f aca="false">IF(K179="","",K179/24*100)</f>
        <v/>
      </c>
      <c r="AB179" s="47" t="str">
        <f aca="false">IF(L179="","",L179/3*100)</f>
        <v/>
      </c>
      <c r="AC179" s="47" t="str">
        <f aca="false">IF(OR(M179="",AND(N179&lt;&gt;"",N(N179)&lt;Parámetros!$B$15)),"",MAX(0,MIN(100,(M179-1)/4*100)))</f>
        <v/>
      </c>
      <c r="AD179" s="47" t="str">
        <f aca="false">IF(OR(P179="",N(Q179)=0),"",MAX(0,MIN(100,((Q179/(Q179+Parámetros!$B$16))*P179+(Parámetros!$B$16/(Q179+Parámetros!$B$16))*Parámetros!$B$17-0.1)/0.4*100)))</f>
        <v/>
      </c>
      <c r="AE179" s="47" t="str">
        <f aca="false">IF(N(R179)&gt;0,MIN(100,S179/R179*100),"")</f>
        <v/>
      </c>
      <c r="AF179" s="47" t="str">
        <f aca="false">IF(N(U179)&gt;0,MIN(100,T179/(U179*5)*100),"")</f>
        <v/>
      </c>
      <c r="AG179" s="47" t="str">
        <f aca="false">IF(OR(V179="",N(W179)&lt;10),"",(V179-1)/4*100)</f>
        <v/>
      </c>
      <c r="AH179" s="47" t="str">
        <f aca="false">IF($C179="","",COUNT(X179:AG179))</f>
        <v/>
      </c>
      <c r="AI179" s="47" t="str">
        <f aca="false">IF(OR($C179="",N(AH179)&lt;Parámetros!$B$18),"",(IF(ISNUMBER(X179),X179*Parámetros!$B$2,0)+IF(ISNUMBER(Y179),Y179*Parámetros!$B$3,0)+IF(ISNUMBER(Z179),Z179*Parámetros!$B$4,0)+IF(ISNUMBER(AA179),AA179*Parámetros!$B$5,0)+IF(ISNUMBER(AB179),AB179*Parámetros!$B$6,0)+IF(ISNUMBER(AC179),AC179*Parámetros!$B$7,0)+IF(ISNUMBER(AD179),AD179*Parámetros!$B$8,0)+IF(ISNUMBER(AE179),AE179*Parámetros!$B$9,0)+IF(ISNUMBER(AF179),AF179*Parámetros!$B$10,0)+IF(ISNUMBER(AG179),AG179*Parámetros!$B$11,0))/(IF(ISNUMBER(X179),Parámetros!$B$2,0)+IF(ISNUMBER(Y179),Parámetros!$B$3,0)+IF(ISNUMBER(Z179),Parámetros!$B$4,0)+IF(ISNUMBER(AA179),Parámetros!$B$5,0)+IF(ISNUMBER(AB179),Parámetros!$B$6,0)+IF(ISNUMBER(AC179),Parámetros!$B$7,0)+IF(ISNUMBER(AD179),Parámetros!$B$8,0)+IF(ISNUMBER(AE179),Parámetros!$B$9,0)+IF(ISNUMBER(AF179),Parámetros!$B$10,0)+IF(ISNUMBER(AG179),Parámetros!$B$11,0)))</f>
        <v/>
      </c>
      <c r="AJ179" s="47" t="n">
        <f aca="false">IF(AND(ISNUMBER(Y179),N(Y179)&lt;60),69.9,IF(OR(AND(ISNUMBER(AE179),N(AE179)&lt;80),AND(ISNUMBER(AC179),N(AC179)&lt;50,N(O179)&gt;=2)),84.9,100))</f>
        <v>100</v>
      </c>
      <c r="AK179" s="47" t="str">
        <f aca="false">IF(AI179="","",MIN(AI179,AJ179))</f>
        <v/>
      </c>
      <c r="AL179" s="47" t="str">
        <f aca="false">IF($C179="","",IF(AK179="","Gris — menos de 3 fuentes",IF(AND(AK179&lt;Parámetros!$B$14,N179&lt;&gt;"",N(N179)&lt;Parámetros!$B$15,N(Y179)&gt;=60),"Gris — repetir observación",IF(AK179&gt;=Parámetros!$B$13,"Verde",IF(AK179&gt;=Parámetros!$B$14,"Amarillo","Rojo")))))</f>
        <v/>
      </c>
      <c r="AM179" s="47" t="str">
        <f aca="false">IF($C179="","",IF(AND(ISNUMBER(Y179),N(Y179)&lt;60),"Ejecución &lt; 60 %: rojo automático",IF(AND(ISNUMBER(AE179),N(AE179)&lt;80),"PIAR &lt; 80 %: máximo amarillo",IF(AND(ISNUMBER(AC179),N(AC179)&lt;50,N(O179)&gt;=2),"Observación &lt; 50: máximo amarillo",IF(AND(N179&lt;&gt;"",N(N179)&lt;Parámetros!$B$15),"κ &lt; 0,60: observación descartada, repetir","")))))</f>
        <v/>
      </c>
    </row>
    <row r="180" customFormat="false" ht="15" hidden="false" customHeight="fals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7" t="str">
        <f aca="false">IF(N(E180)&gt;0,MIN(100,F180/E180*100),"")</f>
        <v/>
      </c>
      <c r="Y180" s="47" t="str">
        <f aca="false">IF(N(G180)&gt;0,MIN(100,H180/G180*100),"")</f>
        <v/>
      </c>
      <c r="Z180" s="47" t="str">
        <f aca="false">IF(N(I180)&gt;0,MIN(100,J180/I180*100),"")</f>
        <v/>
      </c>
      <c r="AA180" s="47" t="str">
        <f aca="false">IF(K180="","",K180/24*100)</f>
        <v/>
      </c>
      <c r="AB180" s="47" t="str">
        <f aca="false">IF(L180="","",L180/3*100)</f>
        <v/>
      </c>
      <c r="AC180" s="47" t="str">
        <f aca="false">IF(OR(M180="",AND(N180&lt;&gt;"",N(N180)&lt;Parámetros!$B$15)),"",MAX(0,MIN(100,(M180-1)/4*100)))</f>
        <v/>
      </c>
      <c r="AD180" s="47" t="str">
        <f aca="false">IF(OR(P180="",N(Q180)=0),"",MAX(0,MIN(100,((Q180/(Q180+Parámetros!$B$16))*P180+(Parámetros!$B$16/(Q180+Parámetros!$B$16))*Parámetros!$B$17-0.1)/0.4*100)))</f>
        <v/>
      </c>
      <c r="AE180" s="47" t="str">
        <f aca="false">IF(N(R180)&gt;0,MIN(100,S180/R180*100),"")</f>
        <v/>
      </c>
      <c r="AF180" s="47" t="str">
        <f aca="false">IF(N(U180)&gt;0,MIN(100,T180/(U180*5)*100),"")</f>
        <v/>
      </c>
      <c r="AG180" s="47" t="str">
        <f aca="false">IF(OR(V180="",N(W180)&lt;10),"",(V180-1)/4*100)</f>
        <v/>
      </c>
      <c r="AH180" s="47" t="str">
        <f aca="false">IF($C180="","",COUNT(X180:AG180))</f>
        <v/>
      </c>
      <c r="AI180" s="47" t="str">
        <f aca="false">IF(OR($C180="",N(AH180)&lt;Parámetros!$B$18),"",(IF(ISNUMBER(X180),X180*Parámetros!$B$2,0)+IF(ISNUMBER(Y180),Y180*Parámetros!$B$3,0)+IF(ISNUMBER(Z180),Z180*Parámetros!$B$4,0)+IF(ISNUMBER(AA180),AA180*Parámetros!$B$5,0)+IF(ISNUMBER(AB180),AB180*Parámetros!$B$6,0)+IF(ISNUMBER(AC180),AC180*Parámetros!$B$7,0)+IF(ISNUMBER(AD180),AD180*Parámetros!$B$8,0)+IF(ISNUMBER(AE180),AE180*Parámetros!$B$9,0)+IF(ISNUMBER(AF180),AF180*Parámetros!$B$10,0)+IF(ISNUMBER(AG180),AG180*Parámetros!$B$11,0))/(IF(ISNUMBER(X180),Parámetros!$B$2,0)+IF(ISNUMBER(Y180),Parámetros!$B$3,0)+IF(ISNUMBER(Z180),Parámetros!$B$4,0)+IF(ISNUMBER(AA180),Parámetros!$B$5,0)+IF(ISNUMBER(AB180),Parámetros!$B$6,0)+IF(ISNUMBER(AC180),Parámetros!$B$7,0)+IF(ISNUMBER(AD180),Parámetros!$B$8,0)+IF(ISNUMBER(AE180),Parámetros!$B$9,0)+IF(ISNUMBER(AF180),Parámetros!$B$10,0)+IF(ISNUMBER(AG180),Parámetros!$B$11,0)))</f>
        <v/>
      </c>
      <c r="AJ180" s="47" t="n">
        <f aca="false">IF(AND(ISNUMBER(Y180),N(Y180)&lt;60),69.9,IF(OR(AND(ISNUMBER(AE180),N(AE180)&lt;80),AND(ISNUMBER(AC180),N(AC180)&lt;50,N(O180)&gt;=2)),84.9,100))</f>
        <v>100</v>
      </c>
      <c r="AK180" s="47" t="str">
        <f aca="false">IF(AI180="","",MIN(AI180,AJ180))</f>
        <v/>
      </c>
      <c r="AL180" s="47" t="str">
        <f aca="false">IF($C180="","",IF(AK180="","Gris — menos de 3 fuentes",IF(AND(AK180&lt;Parámetros!$B$14,N180&lt;&gt;"",N(N180)&lt;Parámetros!$B$15,N(Y180)&gt;=60),"Gris — repetir observación",IF(AK180&gt;=Parámetros!$B$13,"Verde",IF(AK180&gt;=Parámetros!$B$14,"Amarillo","Rojo")))))</f>
        <v/>
      </c>
      <c r="AM180" s="47" t="str">
        <f aca="false">IF($C180="","",IF(AND(ISNUMBER(Y180),N(Y180)&lt;60),"Ejecución &lt; 60 %: rojo automático",IF(AND(ISNUMBER(AE180),N(AE180)&lt;80),"PIAR &lt; 80 %: máximo amarillo",IF(AND(ISNUMBER(AC180),N(AC180)&lt;50,N(O180)&gt;=2),"Observación &lt; 50: máximo amarillo",IF(AND(N180&lt;&gt;"",N(N180)&lt;Parámetros!$B$15),"κ &lt; 0,60: observación descartada, repetir","")))))</f>
        <v/>
      </c>
    </row>
    <row r="181" customFormat="false" ht="15" hidden="false" customHeight="fals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7" t="str">
        <f aca="false">IF(N(E181)&gt;0,MIN(100,F181/E181*100),"")</f>
        <v/>
      </c>
      <c r="Y181" s="47" t="str">
        <f aca="false">IF(N(G181)&gt;0,MIN(100,H181/G181*100),"")</f>
        <v/>
      </c>
      <c r="Z181" s="47" t="str">
        <f aca="false">IF(N(I181)&gt;0,MIN(100,J181/I181*100),"")</f>
        <v/>
      </c>
      <c r="AA181" s="47" t="str">
        <f aca="false">IF(K181="","",K181/24*100)</f>
        <v/>
      </c>
      <c r="AB181" s="47" t="str">
        <f aca="false">IF(L181="","",L181/3*100)</f>
        <v/>
      </c>
      <c r="AC181" s="47" t="str">
        <f aca="false">IF(OR(M181="",AND(N181&lt;&gt;"",N(N181)&lt;Parámetros!$B$15)),"",MAX(0,MIN(100,(M181-1)/4*100)))</f>
        <v/>
      </c>
      <c r="AD181" s="47" t="str">
        <f aca="false">IF(OR(P181="",N(Q181)=0),"",MAX(0,MIN(100,((Q181/(Q181+Parámetros!$B$16))*P181+(Parámetros!$B$16/(Q181+Parámetros!$B$16))*Parámetros!$B$17-0.1)/0.4*100)))</f>
        <v/>
      </c>
      <c r="AE181" s="47" t="str">
        <f aca="false">IF(N(R181)&gt;0,MIN(100,S181/R181*100),"")</f>
        <v/>
      </c>
      <c r="AF181" s="47" t="str">
        <f aca="false">IF(N(U181)&gt;0,MIN(100,T181/(U181*5)*100),"")</f>
        <v/>
      </c>
      <c r="AG181" s="47" t="str">
        <f aca="false">IF(OR(V181="",N(W181)&lt;10),"",(V181-1)/4*100)</f>
        <v/>
      </c>
      <c r="AH181" s="47" t="str">
        <f aca="false">IF($C181="","",COUNT(X181:AG181))</f>
        <v/>
      </c>
      <c r="AI181" s="47" t="str">
        <f aca="false">IF(OR($C181="",N(AH181)&lt;Parámetros!$B$18),"",(IF(ISNUMBER(X181),X181*Parámetros!$B$2,0)+IF(ISNUMBER(Y181),Y181*Parámetros!$B$3,0)+IF(ISNUMBER(Z181),Z181*Parámetros!$B$4,0)+IF(ISNUMBER(AA181),AA181*Parámetros!$B$5,0)+IF(ISNUMBER(AB181),AB181*Parámetros!$B$6,0)+IF(ISNUMBER(AC181),AC181*Parámetros!$B$7,0)+IF(ISNUMBER(AD181),AD181*Parámetros!$B$8,0)+IF(ISNUMBER(AE181),AE181*Parámetros!$B$9,0)+IF(ISNUMBER(AF181),AF181*Parámetros!$B$10,0)+IF(ISNUMBER(AG181),AG181*Parámetros!$B$11,0))/(IF(ISNUMBER(X181),Parámetros!$B$2,0)+IF(ISNUMBER(Y181),Parámetros!$B$3,0)+IF(ISNUMBER(Z181),Parámetros!$B$4,0)+IF(ISNUMBER(AA181),Parámetros!$B$5,0)+IF(ISNUMBER(AB181),Parámetros!$B$6,0)+IF(ISNUMBER(AC181),Parámetros!$B$7,0)+IF(ISNUMBER(AD181),Parámetros!$B$8,0)+IF(ISNUMBER(AE181),Parámetros!$B$9,0)+IF(ISNUMBER(AF181),Parámetros!$B$10,0)+IF(ISNUMBER(AG181),Parámetros!$B$11,0)))</f>
        <v/>
      </c>
      <c r="AJ181" s="47" t="n">
        <f aca="false">IF(AND(ISNUMBER(Y181),N(Y181)&lt;60),69.9,IF(OR(AND(ISNUMBER(AE181),N(AE181)&lt;80),AND(ISNUMBER(AC181),N(AC181)&lt;50,N(O181)&gt;=2)),84.9,100))</f>
        <v>100</v>
      </c>
      <c r="AK181" s="47" t="str">
        <f aca="false">IF(AI181="","",MIN(AI181,AJ181))</f>
        <v/>
      </c>
      <c r="AL181" s="47" t="str">
        <f aca="false">IF($C181="","",IF(AK181="","Gris — menos de 3 fuentes",IF(AND(AK181&lt;Parámetros!$B$14,N181&lt;&gt;"",N(N181)&lt;Parámetros!$B$15,N(Y181)&gt;=60),"Gris — repetir observación",IF(AK181&gt;=Parámetros!$B$13,"Verde",IF(AK181&gt;=Parámetros!$B$14,"Amarillo","Rojo")))))</f>
        <v/>
      </c>
      <c r="AM181" s="47" t="str">
        <f aca="false">IF($C181="","",IF(AND(ISNUMBER(Y181),N(Y181)&lt;60),"Ejecución &lt; 60 %: rojo automático",IF(AND(ISNUMBER(AE181),N(AE181)&lt;80),"PIAR &lt; 80 %: máximo amarillo",IF(AND(ISNUMBER(AC181),N(AC181)&lt;50,N(O181)&gt;=2),"Observación &lt; 50: máximo amarillo",IF(AND(N181&lt;&gt;"",N(N181)&lt;Parámetros!$B$15),"κ &lt; 0,60: observación descartada, repetir","")))))</f>
        <v/>
      </c>
    </row>
    <row r="182" customFormat="false" ht="15" hidden="false" customHeight="fals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7" t="str">
        <f aca="false">IF(N(E182)&gt;0,MIN(100,F182/E182*100),"")</f>
        <v/>
      </c>
      <c r="Y182" s="47" t="str">
        <f aca="false">IF(N(G182)&gt;0,MIN(100,H182/G182*100),"")</f>
        <v/>
      </c>
      <c r="Z182" s="47" t="str">
        <f aca="false">IF(N(I182)&gt;0,MIN(100,J182/I182*100),"")</f>
        <v/>
      </c>
      <c r="AA182" s="47" t="str">
        <f aca="false">IF(K182="","",K182/24*100)</f>
        <v/>
      </c>
      <c r="AB182" s="47" t="str">
        <f aca="false">IF(L182="","",L182/3*100)</f>
        <v/>
      </c>
      <c r="AC182" s="47" t="str">
        <f aca="false">IF(OR(M182="",AND(N182&lt;&gt;"",N(N182)&lt;Parámetros!$B$15)),"",MAX(0,MIN(100,(M182-1)/4*100)))</f>
        <v/>
      </c>
      <c r="AD182" s="47" t="str">
        <f aca="false">IF(OR(P182="",N(Q182)=0),"",MAX(0,MIN(100,((Q182/(Q182+Parámetros!$B$16))*P182+(Parámetros!$B$16/(Q182+Parámetros!$B$16))*Parámetros!$B$17-0.1)/0.4*100)))</f>
        <v/>
      </c>
      <c r="AE182" s="47" t="str">
        <f aca="false">IF(N(R182)&gt;0,MIN(100,S182/R182*100),"")</f>
        <v/>
      </c>
      <c r="AF182" s="47" t="str">
        <f aca="false">IF(N(U182)&gt;0,MIN(100,T182/(U182*5)*100),"")</f>
        <v/>
      </c>
      <c r="AG182" s="47" t="str">
        <f aca="false">IF(OR(V182="",N(W182)&lt;10),"",(V182-1)/4*100)</f>
        <v/>
      </c>
      <c r="AH182" s="47" t="str">
        <f aca="false">IF($C182="","",COUNT(X182:AG182))</f>
        <v/>
      </c>
      <c r="AI182" s="47" t="str">
        <f aca="false">IF(OR($C182="",N(AH182)&lt;Parámetros!$B$18),"",(IF(ISNUMBER(X182),X182*Parámetros!$B$2,0)+IF(ISNUMBER(Y182),Y182*Parámetros!$B$3,0)+IF(ISNUMBER(Z182),Z182*Parámetros!$B$4,0)+IF(ISNUMBER(AA182),AA182*Parámetros!$B$5,0)+IF(ISNUMBER(AB182),AB182*Parámetros!$B$6,0)+IF(ISNUMBER(AC182),AC182*Parámetros!$B$7,0)+IF(ISNUMBER(AD182),AD182*Parámetros!$B$8,0)+IF(ISNUMBER(AE182),AE182*Parámetros!$B$9,0)+IF(ISNUMBER(AF182),AF182*Parámetros!$B$10,0)+IF(ISNUMBER(AG182),AG182*Parámetros!$B$11,0))/(IF(ISNUMBER(X182),Parámetros!$B$2,0)+IF(ISNUMBER(Y182),Parámetros!$B$3,0)+IF(ISNUMBER(Z182),Parámetros!$B$4,0)+IF(ISNUMBER(AA182),Parámetros!$B$5,0)+IF(ISNUMBER(AB182),Parámetros!$B$6,0)+IF(ISNUMBER(AC182),Parámetros!$B$7,0)+IF(ISNUMBER(AD182),Parámetros!$B$8,0)+IF(ISNUMBER(AE182),Parámetros!$B$9,0)+IF(ISNUMBER(AF182),Parámetros!$B$10,0)+IF(ISNUMBER(AG182),Parámetros!$B$11,0)))</f>
        <v/>
      </c>
      <c r="AJ182" s="47" t="n">
        <f aca="false">IF(AND(ISNUMBER(Y182),N(Y182)&lt;60),69.9,IF(OR(AND(ISNUMBER(AE182),N(AE182)&lt;80),AND(ISNUMBER(AC182),N(AC182)&lt;50,N(O182)&gt;=2)),84.9,100))</f>
        <v>100</v>
      </c>
      <c r="AK182" s="47" t="str">
        <f aca="false">IF(AI182="","",MIN(AI182,AJ182))</f>
        <v/>
      </c>
      <c r="AL182" s="47" t="str">
        <f aca="false">IF($C182="","",IF(AK182="","Gris — menos de 3 fuentes",IF(AND(AK182&lt;Parámetros!$B$14,N182&lt;&gt;"",N(N182)&lt;Parámetros!$B$15,N(Y182)&gt;=60),"Gris — repetir observación",IF(AK182&gt;=Parámetros!$B$13,"Verde",IF(AK182&gt;=Parámetros!$B$14,"Amarillo","Rojo")))))</f>
        <v/>
      </c>
      <c r="AM182" s="47" t="str">
        <f aca="false">IF($C182="","",IF(AND(ISNUMBER(Y182),N(Y182)&lt;60),"Ejecución &lt; 60 %: rojo automático",IF(AND(ISNUMBER(AE182),N(AE182)&lt;80),"PIAR &lt; 80 %: máximo amarillo",IF(AND(ISNUMBER(AC182),N(AC182)&lt;50,N(O182)&gt;=2),"Observación &lt; 50: máximo amarillo",IF(AND(N182&lt;&gt;"",N(N182)&lt;Parámetros!$B$15),"κ &lt; 0,60: observación descartada, repetir","")))))</f>
        <v/>
      </c>
    </row>
    <row r="183" customFormat="false" ht="15" hidden="false" customHeight="fals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7" t="str">
        <f aca="false">IF(N(E183)&gt;0,MIN(100,F183/E183*100),"")</f>
        <v/>
      </c>
      <c r="Y183" s="47" t="str">
        <f aca="false">IF(N(G183)&gt;0,MIN(100,H183/G183*100),"")</f>
        <v/>
      </c>
      <c r="Z183" s="47" t="str">
        <f aca="false">IF(N(I183)&gt;0,MIN(100,J183/I183*100),"")</f>
        <v/>
      </c>
      <c r="AA183" s="47" t="str">
        <f aca="false">IF(K183="","",K183/24*100)</f>
        <v/>
      </c>
      <c r="AB183" s="47" t="str">
        <f aca="false">IF(L183="","",L183/3*100)</f>
        <v/>
      </c>
      <c r="AC183" s="47" t="str">
        <f aca="false">IF(OR(M183="",AND(N183&lt;&gt;"",N(N183)&lt;Parámetros!$B$15)),"",MAX(0,MIN(100,(M183-1)/4*100)))</f>
        <v/>
      </c>
      <c r="AD183" s="47" t="str">
        <f aca="false">IF(OR(P183="",N(Q183)=0),"",MAX(0,MIN(100,((Q183/(Q183+Parámetros!$B$16))*P183+(Parámetros!$B$16/(Q183+Parámetros!$B$16))*Parámetros!$B$17-0.1)/0.4*100)))</f>
        <v/>
      </c>
      <c r="AE183" s="47" t="str">
        <f aca="false">IF(N(R183)&gt;0,MIN(100,S183/R183*100),"")</f>
        <v/>
      </c>
      <c r="AF183" s="47" t="str">
        <f aca="false">IF(N(U183)&gt;0,MIN(100,T183/(U183*5)*100),"")</f>
        <v/>
      </c>
      <c r="AG183" s="47" t="str">
        <f aca="false">IF(OR(V183="",N(W183)&lt;10),"",(V183-1)/4*100)</f>
        <v/>
      </c>
      <c r="AH183" s="47" t="str">
        <f aca="false">IF($C183="","",COUNT(X183:AG183))</f>
        <v/>
      </c>
      <c r="AI183" s="47" t="str">
        <f aca="false">IF(OR($C183="",N(AH183)&lt;Parámetros!$B$18),"",(IF(ISNUMBER(X183),X183*Parámetros!$B$2,0)+IF(ISNUMBER(Y183),Y183*Parámetros!$B$3,0)+IF(ISNUMBER(Z183),Z183*Parámetros!$B$4,0)+IF(ISNUMBER(AA183),AA183*Parámetros!$B$5,0)+IF(ISNUMBER(AB183),AB183*Parámetros!$B$6,0)+IF(ISNUMBER(AC183),AC183*Parámetros!$B$7,0)+IF(ISNUMBER(AD183),AD183*Parámetros!$B$8,0)+IF(ISNUMBER(AE183),AE183*Parámetros!$B$9,0)+IF(ISNUMBER(AF183),AF183*Parámetros!$B$10,0)+IF(ISNUMBER(AG183),AG183*Parámetros!$B$11,0))/(IF(ISNUMBER(X183),Parámetros!$B$2,0)+IF(ISNUMBER(Y183),Parámetros!$B$3,0)+IF(ISNUMBER(Z183),Parámetros!$B$4,0)+IF(ISNUMBER(AA183),Parámetros!$B$5,0)+IF(ISNUMBER(AB183),Parámetros!$B$6,0)+IF(ISNUMBER(AC183),Parámetros!$B$7,0)+IF(ISNUMBER(AD183),Parámetros!$B$8,0)+IF(ISNUMBER(AE183),Parámetros!$B$9,0)+IF(ISNUMBER(AF183),Parámetros!$B$10,0)+IF(ISNUMBER(AG183),Parámetros!$B$11,0)))</f>
        <v/>
      </c>
      <c r="AJ183" s="47" t="n">
        <f aca="false">IF(AND(ISNUMBER(Y183),N(Y183)&lt;60),69.9,IF(OR(AND(ISNUMBER(AE183),N(AE183)&lt;80),AND(ISNUMBER(AC183),N(AC183)&lt;50,N(O183)&gt;=2)),84.9,100))</f>
        <v>100</v>
      </c>
      <c r="AK183" s="47" t="str">
        <f aca="false">IF(AI183="","",MIN(AI183,AJ183))</f>
        <v/>
      </c>
      <c r="AL183" s="47" t="str">
        <f aca="false">IF($C183="","",IF(AK183="","Gris — menos de 3 fuentes",IF(AND(AK183&lt;Parámetros!$B$14,N183&lt;&gt;"",N(N183)&lt;Parámetros!$B$15,N(Y183)&gt;=60),"Gris — repetir observación",IF(AK183&gt;=Parámetros!$B$13,"Verde",IF(AK183&gt;=Parámetros!$B$14,"Amarillo","Rojo")))))</f>
        <v/>
      </c>
      <c r="AM183" s="47" t="str">
        <f aca="false">IF($C183="","",IF(AND(ISNUMBER(Y183),N(Y183)&lt;60),"Ejecución &lt; 60 %: rojo automático",IF(AND(ISNUMBER(AE183),N(AE183)&lt;80),"PIAR &lt; 80 %: máximo amarillo",IF(AND(ISNUMBER(AC183),N(AC183)&lt;50,N(O183)&gt;=2),"Observación &lt; 50: máximo amarillo",IF(AND(N183&lt;&gt;"",N(N183)&lt;Parámetros!$B$15),"κ &lt; 0,60: observación descartada, repetir","")))))</f>
        <v/>
      </c>
    </row>
    <row r="184" customFormat="false" ht="15" hidden="false" customHeight="fals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7" t="str">
        <f aca="false">IF(N(E184)&gt;0,MIN(100,F184/E184*100),"")</f>
        <v/>
      </c>
      <c r="Y184" s="47" t="str">
        <f aca="false">IF(N(G184)&gt;0,MIN(100,H184/G184*100),"")</f>
        <v/>
      </c>
      <c r="Z184" s="47" t="str">
        <f aca="false">IF(N(I184)&gt;0,MIN(100,J184/I184*100),"")</f>
        <v/>
      </c>
      <c r="AA184" s="47" t="str">
        <f aca="false">IF(K184="","",K184/24*100)</f>
        <v/>
      </c>
      <c r="AB184" s="47" t="str">
        <f aca="false">IF(L184="","",L184/3*100)</f>
        <v/>
      </c>
      <c r="AC184" s="47" t="str">
        <f aca="false">IF(OR(M184="",AND(N184&lt;&gt;"",N(N184)&lt;Parámetros!$B$15)),"",MAX(0,MIN(100,(M184-1)/4*100)))</f>
        <v/>
      </c>
      <c r="AD184" s="47" t="str">
        <f aca="false">IF(OR(P184="",N(Q184)=0),"",MAX(0,MIN(100,((Q184/(Q184+Parámetros!$B$16))*P184+(Parámetros!$B$16/(Q184+Parámetros!$B$16))*Parámetros!$B$17-0.1)/0.4*100)))</f>
        <v/>
      </c>
      <c r="AE184" s="47" t="str">
        <f aca="false">IF(N(R184)&gt;0,MIN(100,S184/R184*100),"")</f>
        <v/>
      </c>
      <c r="AF184" s="47" t="str">
        <f aca="false">IF(N(U184)&gt;0,MIN(100,T184/(U184*5)*100),"")</f>
        <v/>
      </c>
      <c r="AG184" s="47" t="str">
        <f aca="false">IF(OR(V184="",N(W184)&lt;10),"",(V184-1)/4*100)</f>
        <v/>
      </c>
      <c r="AH184" s="47" t="str">
        <f aca="false">IF($C184="","",COUNT(X184:AG184))</f>
        <v/>
      </c>
      <c r="AI184" s="47" t="str">
        <f aca="false">IF(OR($C184="",N(AH184)&lt;Parámetros!$B$18),"",(IF(ISNUMBER(X184),X184*Parámetros!$B$2,0)+IF(ISNUMBER(Y184),Y184*Parámetros!$B$3,0)+IF(ISNUMBER(Z184),Z184*Parámetros!$B$4,0)+IF(ISNUMBER(AA184),AA184*Parámetros!$B$5,0)+IF(ISNUMBER(AB184),AB184*Parámetros!$B$6,0)+IF(ISNUMBER(AC184),AC184*Parámetros!$B$7,0)+IF(ISNUMBER(AD184),AD184*Parámetros!$B$8,0)+IF(ISNUMBER(AE184),AE184*Parámetros!$B$9,0)+IF(ISNUMBER(AF184),AF184*Parámetros!$B$10,0)+IF(ISNUMBER(AG184),AG184*Parámetros!$B$11,0))/(IF(ISNUMBER(X184),Parámetros!$B$2,0)+IF(ISNUMBER(Y184),Parámetros!$B$3,0)+IF(ISNUMBER(Z184),Parámetros!$B$4,0)+IF(ISNUMBER(AA184),Parámetros!$B$5,0)+IF(ISNUMBER(AB184),Parámetros!$B$6,0)+IF(ISNUMBER(AC184),Parámetros!$B$7,0)+IF(ISNUMBER(AD184),Parámetros!$B$8,0)+IF(ISNUMBER(AE184),Parámetros!$B$9,0)+IF(ISNUMBER(AF184),Parámetros!$B$10,0)+IF(ISNUMBER(AG184),Parámetros!$B$11,0)))</f>
        <v/>
      </c>
      <c r="AJ184" s="47" t="n">
        <f aca="false">IF(AND(ISNUMBER(Y184),N(Y184)&lt;60),69.9,IF(OR(AND(ISNUMBER(AE184),N(AE184)&lt;80),AND(ISNUMBER(AC184),N(AC184)&lt;50,N(O184)&gt;=2)),84.9,100))</f>
        <v>100</v>
      </c>
      <c r="AK184" s="47" t="str">
        <f aca="false">IF(AI184="","",MIN(AI184,AJ184))</f>
        <v/>
      </c>
      <c r="AL184" s="47" t="str">
        <f aca="false">IF($C184="","",IF(AK184="","Gris — menos de 3 fuentes",IF(AND(AK184&lt;Parámetros!$B$14,N184&lt;&gt;"",N(N184)&lt;Parámetros!$B$15,N(Y184)&gt;=60),"Gris — repetir observación",IF(AK184&gt;=Parámetros!$B$13,"Verde",IF(AK184&gt;=Parámetros!$B$14,"Amarillo","Rojo")))))</f>
        <v/>
      </c>
      <c r="AM184" s="47" t="str">
        <f aca="false">IF($C184="","",IF(AND(ISNUMBER(Y184),N(Y184)&lt;60),"Ejecución &lt; 60 %: rojo automático",IF(AND(ISNUMBER(AE184),N(AE184)&lt;80),"PIAR &lt; 80 %: máximo amarillo",IF(AND(ISNUMBER(AC184),N(AC184)&lt;50,N(O184)&gt;=2),"Observación &lt; 50: máximo amarillo",IF(AND(N184&lt;&gt;"",N(N184)&lt;Parámetros!$B$15),"κ &lt; 0,60: observación descartada, repetir","")))))</f>
        <v/>
      </c>
    </row>
    <row r="185" customFormat="false" ht="15" hidden="false" customHeight="fals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7" t="str">
        <f aca="false">IF(N(E185)&gt;0,MIN(100,F185/E185*100),"")</f>
        <v/>
      </c>
      <c r="Y185" s="47" t="str">
        <f aca="false">IF(N(G185)&gt;0,MIN(100,H185/G185*100),"")</f>
        <v/>
      </c>
      <c r="Z185" s="47" t="str">
        <f aca="false">IF(N(I185)&gt;0,MIN(100,J185/I185*100),"")</f>
        <v/>
      </c>
      <c r="AA185" s="47" t="str">
        <f aca="false">IF(K185="","",K185/24*100)</f>
        <v/>
      </c>
      <c r="AB185" s="47" t="str">
        <f aca="false">IF(L185="","",L185/3*100)</f>
        <v/>
      </c>
      <c r="AC185" s="47" t="str">
        <f aca="false">IF(OR(M185="",AND(N185&lt;&gt;"",N(N185)&lt;Parámetros!$B$15)),"",MAX(0,MIN(100,(M185-1)/4*100)))</f>
        <v/>
      </c>
      <c r="AD185" s="47" t="str">
        <f aca="false">IF(OR(P185="",N(Q185)=0),"",MAX(0,MIN(100,((Q185/(Q185+Parámetros!$B$16))*P185+(Parámetros!$B$16/(Q185+Parámetros!$B$16))*Parámetros!$B$17-0.1)/0.4*100)))</f>
        <v/>
      </c>
      <c r="AE185" s="47" t="str">
        <f aca="false">IF(N(R185)&gt;0,MIN(100,S185/R185*100),"")</f>
        <v/>
      </c>
      <c r="AF185" s="47" t="str">
        <f aca="false">IF(N(U185)&gt;0,MIN(100,T185/(U185*5)*100),"")</f>
        <v/>
      </c>
      <c r="AG185" s="47" t="str">
        <f aca="false">IF(OR(V185="",N(W185)&lt;10),"",(V185-1)/4*100)</f>
        <v/>
      </c>
      <c r="AH185" s="47" t="str">
        <f aca="false">IF($C185="","",COUNT(X185:AG185))</f>
        <v/>
      </c>
      <c r="AI185" s="47" t="str">
        <f aca="false">IF(OR($C185="",N(AH185)&lt;Parámetros!$B$18),"",(IF(ISNUMBER(X185),X185*Parámetros!$B$2,0)+IF(ISNUMBER(Y185),Y185*Parámetros!$B$3,0)+IF(ISNUMBER(Z185),Z185*Parámetros!$B$4,0)+IF(ISNUMBER(AA185),AA185*Parámetros!$B$5,0)+IF(ISNUMBER(AB185),AB185*Parámetros!$B$6,0)+IF(ISNUMBER(AC185),AC185*Parámetros!$B$7,0)+IF(ISNUMBER(AD185),AD185*Parámetros!$B$8,0)+IF(ISNUMBER(AE185),AE185*Parámetros!$B$9,0)+IF(ISNUMBER(AF185),AF185*Parámetros!$B$10,0)+IF(ISNUMBER(AG185),AG185*Parámetros!$B$11,0))/(IF(ISNUMBER(X185),Parámetros!$B$2,0)+IF(ISNUMBER(Y185),Parámetros!$B$3,0)+IF(ISNUMBER(Z185),Parámetros!$B$4,0)+IF(ISNUMBER(AA185),Parámetros!$B$5,0)+IF(ISNUMBER(AB185),Parámetros!$B$6,0)+IF(ISNUMBER(AC185),Parámetros!$B$7,0)+IF(ISNUMBER(AD185),Parámetros!$B$8,0)+IF(ISNUMBER(AE185),Parámetros!$B$9,0)+IF(ISNUMBER(AF185),Parámetros!$B$10,0)+IF(ISNUMBER(AG185),Parámetros!$B$11,0)))</f>
        <v/>
      </c>
      <c r="AJ185" s="47" t="n">
        <f aca="false">IF(AND(ISNUMBER(Y185),N(Y185)&lt;60),69.9,IF(OR(AND(ISNUMBER(AE185),N(AE185)&lt;80),AND(ISNUMBER(AC185),N(AC185)&lt;50,N(O185)&gt;=2)),84.9,100))</f>
        <v>100</v>
      </c>
      <c r="AK185" s="47" t="str">
        <f aca="false">IF(AI185="","",MIN(AI185,AJ185))</f>
        <v/>
      </c>
      <c r="AL185" s="47" t="str">
        <f aca="false">IF($C185="","",IF(AK185="","Gris — menos de 3 fuentes",IF(AND(AK185&lt;Parámetros!$B$14,N185&lt;&gt;"",N(N185)&lt;Parámetros!$B$15,N(Y185)&gt;=60),"Gris — repetir observación",IF(AK185&gt;=Parámetros!$B$13,"Verde",IF(AK185&gt;=Parámetros!$B$14,"Amarillo","Rojo")))))</f>
        <v/>
      </c>
      <c r="AM185" s="47" t="str">
        <f aca="false">IF($C185="","",IF(AND(ISNUMBER(Y185),N(Y185)&lt;60),"Ejecución &lt; 60 %: rojo automático",IF(AND(ISNUMBER(AE185),N(AE185)&lt;80),"PIAR &lt; 80 %: máximo amarillo",IF(AND(ISNUMBER(AC185),N(AC185)&lt;50,N(O185)&gt;=2),"Observación &lt; 50: máximo amarillo",IF(AND(N185&lt;&gt;"",N(N185)&lt;Parámetros!$B$15),"κ &lt; 0,60: observación descartada, repetir","")))))</f>
        <v/>
      </c>
    </row>
    <row r="186" customFormat="false" ht="15" hidden="false" customHeight="fals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7" t="str">
        <f aca="false">IF(N(E186)&gt;0,MIN(100,F186/E186*100),"")</f>
        <v/>
      </c>
      <c r="Y186" s="47" t="str">
        <f aca="false">IF(N(G186)&gt;0,MIN(100,H186/G186*100),"")</f>
        <v/>
      </c>
      <c r="Z186" s="47" t="str">
        <f aca="false">IF(N(I186)&gt;0,MIN(100,J186/I186*100),"")</f>
        <v/>
      </c>
      <c r="AA186" s="47" t="str">
        <f aca="false">IF(K186="","",K186/24*100)</f>
        <v/>
      </c>
      <c r="AB186" s="47" t="str">
        <f aca="false">IF(L186="","",L186/3*100)</f>
        <v/>
      </c>
      <c r="AC186" s="47" t="str">
        <f aca="false">IF(OR(M186="",AND(N186&lt;&gt;"",N(N186)&lt;Parámetros!$B$15)),"",MAX(0,MIN(100,(M186-1)/4*100)))</f>
        <v/>
      </c>
      <c r="AD186" s="47" t="str">
        <f aca="false">IF(OR(P186="",N(Q186)=0),"",MAX(0,MIN(100,((Q186/(Q186+Parámetros!$B$16))*P186+(Parámetros!$B$16/(Q186+Parámetros!$B$16))*Parámetros!$B$17-0.1)/0.4*100)))</f>
        <v/>
      </c>
      <c r="AE186" s="47" t="str">
        <f aca="false">IF(N(R186)&gt;0,MIN(100,S186/R186*100),"")</f>
        <v/>
      </c>
      <c r="AF186" s="47" t="str">
        <f aca="false">IF(N(U186)&gt;0,MIN(100,T186/(U186*5)*100),"")</f>
        <v/>
      </c>
      <c r="AG186" s="47" t="str">
        <f aca="false">IF(OR(V186="",N(W186)&lt;10),"",(V186-1)/4*100)</f>
        <v/>
      </c>
      <c r="AH186" s="47" t="str">
        <f aca="false">IF($C186="","",COUNT(X186:AG186))</f>
        <v/>
      </c>
      <c r="AI186" s="47" t="str">
        <f aca="false">IF(OR($C186="",N(AH186)&lt;Parámetros!$B$18),"",(IF(ISNUMBER(X186),X186*Parámetros!$B$2,0)+IF(ISNUMBER(Y186),Y186*Parámetros!$B$3,0)+IF(ISNUMBER(Z186),Z186*Parámetros!$B$4,0)+IF(ISNUMBER(AA186),AA186*Parámetros!$B$5,0)+IF(ISNUMBER(AB186),AB186*Parámetros!$B$6,0)+IF(ISNUMBER(AC186),AC186*Parámetros!$B$7,0)+IF(ISNUMBER(AD186),AD186*Parámetros!$B$8,0)+IF(ISNUMBER(AE186),AE186*Parámetros!$B$9,0)+IF(ISNUMBER(AF186),AF186*Parámetros!$B$10,0)+IF(ISNUMBER(AG186),AG186*Parámetros!$B$11,0))/(IF(ISNUMBER(X186),Parámetros!$B$2,0)+IF(ISNUMBER(Y186),Parámetros!$B$3,0)+IF(ISNUMBER(Z186),Parámetros!$B$4,0)+IF(ISNUMBER(AA186),Parámetros!$B$5,0)+IF(ISNUMBER(AB186),Parámetros!$B$6,0)+IF(ISNUMBER(AC186),Parámetros!$B$7,0)+IF(ISNUMBER(AD186),Parámetros!$B$8,0)+IF(ISNUMBER(AE186),Parámetros!$B$9,0)+IF(ISNUMBER(AF186),Parámetros!$B$10,0)+IF(ISNUMBER(AG186),Parámetros!$B$11,0)))</f>
        <v/>
      </c>
      <c r="AJ186" s="47" t="n">
        <f aca="false">IF(AND(ISNUMBER(Y186),N(Y186)&lt;60),69.9,IF(OR(AND(ISNUMBER(AE186),N(AE186)&lt;80),AND(ISNUMBER(AC186),N(AC186)&lt;50,N(O186)&gt;=2)),84.9,100))</f>
        <v>100</v>
      </c>
      <c r="AK186" s="47" t="str">
        <f aca="false">IF(AI186="","",MIN(AI186,AJ186))</f>
        <v/>
      </c>
      <c r="AL186" s="47" t="str">
        <f aca="false">IF($C186="","",IF(AK186="","Gris — menos de 3 fuentes",IF(AND(AK186&lt;Parámetros!$B$14,N186&lt;&gt;"",N(N186)&lt;Parámetros!$B$15,N(Y186)&gt;=60),"Gris — repetir observación",IF(AK186&gt;=Parámetros!$B$13,"Verde",IF(AK186&gt;=Parámetros!$B$14,"Amarillo","Rojo")))))</f>
        <v/>
      </c>
      <c r="AM186" s="47" t="str">
        <f aca="false">IF($C186="","",IF(AND(ISNUMBER(Y186),N(Y186)&lt;60),"Ejecución &lt; 60 %: rojo automático",IF(AND(ISNUMBER(AE186),N(AE186)&lt;80),"PIAR &lt; 80 %: máximo amarillo",IF(AND(ISNUMBER(AC186),N(AC186)&lt;50,N(O186)&gt;=2),"Observación &lt; 50: máximo amarillo",IF(AND(N186&lt;&gt;"",N(N186)&lt;Parámetros!$B$15),"κ &lt; 0,60: observación descartada, repetir","")))))</f>
        <v/>
      </c>
    </row>
    <row r="187" customFormat="false" ht="15" hidden="false" customHeight="fals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7" t="str">
        <f aca="false">IF(N(E187)&gt;0,MIN(100,F187/E187*100),"")</f>
        <v/>
      </c>
      <c r="Y187" s="47" t="str">
        <f aca="false">IF(N(G187)&gt;0,MIN(100,H187/G187*100),"")</f>
        <v/>
      </c>
      <c r="Z187" s="47" t="str">
        <f aca="false">IF(N(I187)&gt;0,MIN(100,J187/I187*100),"")</f>
        <v/>
      </c>
      <c r="AA187" s="47" t="str">
        <f aca="false">IF(K187="","",K187/24*100)</f>
        <v/>
      </c>
      <c r="AB187" s="47" t="str">
        <f aca="false">IF(L187="","",L187/3*100)</f>
        <v/>
      </c>
      <c r="AC187" s="47" t="str">
        <f aca="false">IF(OR(M187="",AND(N187&lt;&gt;"",N(N187)&lt;Parámetros!$B$15)),"",MAX(0,MIN(100,(M187-1)/4*100)))</f>
        <v/>
      </c>
      <c r="AD187" s="47" t="str">
        <f aca="false">IF(OR(P187="",N(Q187)=0),"",MAX(0,MIN(100,((Q187/(Q187+Parámetros!$B$16))*P187+(Parámetros!$B$16/(Q187+Parámetros!$B$16))*Parámetros!$B$17-0.1)/0.4*100)))</f>
        <v/>
      </c>
      <c r="AE187" s="47" t="str">
        <f aca="false">IF(N(R187)&gt;0,MIN(100,S187/R187*100),"")</f>
        <v/>
      </c>
      <c r="AF187" s="47" t="str">
        <f aca="false">IF(N(U187)&gt;0,MIN(100,T187/(U187*5)*100),"")</f>
        <v/>
      </c>
      <c r="AG187" s="47" t="str">
        <f aca="false">IF(OR(V187="",N(W187)&lt;10),"",(V187-1)/4*100)</f>
        <v/>
      </c>
      <c r="AH187" s="47" t="str">
        <f aca="false">IF($C187="","",COUNT(X187:AG187))</f>
        <v/>
      </c>
      <c r="AI187" s="47" t="str">
        <f aca="false">IF(OR($C187="",N(AH187)&lt;Parámetros!$B$18),"",(IF(ISNUMBER(X187),X187*Parámetros!$B$2,0)+IF(ISNUMBER(Y187),Y187*Parámetros!$B$3,0)+IF(ISNUMBER(Z187),Z187*Parámetros!$B$4,0)+IF(ISNUMBER(AA187),AA187*Parámetros!$B$5,0)+IF(ISNUMBER(AB187),AB187*Parámetros!$B$6,0)+IF(ISNUMBER(AC187),AC187*Parámetros!$B$7,0)+IF(ISNUMBER(AD187),AD187*Parámetros!$B$8,0)+IF(ISNUMBER(AE187),AE187*Parámetros!$B$9,0)+IF(ISNUMBER(AF187),AF187*Parámetros!$B$10,0)+IF(ISNUMBER(AG187),AG187*Parámetros!$B$11,0))/(IF(ISNUMBER(X187),Parámetros!$B$2,0)+IF(ISNUMBER(Y187),Parámetros!$B$3,0)+IF(ISNUMBER(Z187),Parámetros!$B$4,0)+IF(ISNUMBER(AA187),Parámetros!$B$5,0)+IF(ISNUMBER(AB187),Parámetros!$B$6,0)+IF(ISNUMBER(AC187),Parámetros!$B$7,0)+IF(ISNUMBER(AD187),Parámetros!$B$8,0)+IF(ISNUMBER(AE187),Parámetros!$B$9,0)+IF(ISNUMBER(AF187),Parámetros!$B$10,0)+IF(ISNUMBER(AG187),Parámetros!$B$11,0)))</f>
        <v/>
      </c>
      <c r="AJ187" s="47" t="n">
        <f aca="false">IF(AND(ISNUMBER(Y187),N(Y187)&lt;60),69.9,IF(OR(AND(ISNUMBER(AE187),N(AE187)&lt;80),AND(ISNUMBER(AC187),N(AC187)&lt;50,N(O187)&gt;=2)),84.9,100))</f>
        <v>100</v>
      </c>
      <c r="AK187" s="47" t="str">
        <f aca="false">IF(AI187="","",MIN(AI187,AJ187))</f>
        <v/>
      </c>
      <c r="AL187" s="47" t="str">
        <f aca="false">IF($C187="","",IF(AK187="","Gris — menos de 3 fuentes",IF(AND(AK187&lt;Parámetros!$B$14,N187&lt;&gt;"",N(N187)&lt;Parámetros!$B$15,N(Y187)&gt;=60),"Gris — repetir observación",IF(AK187&gt;=Parámetros!$B$13,"Verde",IF(AK187&gt;=Parámetros!$B$14,"Amarillo","Rojo")))))</f>
        <v/>
      </c>
      <c r="AM187" s="47" t="str">
        <f aca="false">IF($C187="","",IF(AND(ISNUMBER(Y187),N(Y187)&lt;60),"Ejecución &lt; 60 %: rojo automático",IF(AND(ISNUMBER(AE187),N(AE187)&lt;80),"PIAR &lt; 80 %: máximo amarillo",IF(AND(ISNUMBER(AC187),N(AC187)&lt;50,N(O187)&gt;=2),"Observación &lt; 50: máximo amarillo",IF(AND(N187&lt;&gt;"",N(N187)&lt;Parámetros!$B$15),"κ &lt; 0,60: observación descartada, repetir","")))))</f>
        <v/>
      </c>
    </row>
    <row r="188" customFormat="false" ht="15" hidden="false" customHeight="fals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7" t="str">
        <f aca="false">IF(N(E188)&gt;0,MIN(100,F188/E188*100),"")</f>
        <v/>
      </c>
      <c r="Y188" s="47" t="str">
        <f aca="false">IF(N(G188)&gt;0,MIN(100,H188/G188*100),"")</f>
        <v/>
      </c>
      <c r="Z188" s="47" t="str">
        <f aca="false">IF(N(I188)&gt;0,MIN(100,J188/I188*100),"")</f>
        <v/>
      </c>
      <c r="AA188" s="47" t="str">
        <f aca="false">IF(K188="","",K188/24*100)</f>
        <v/>
      </c>
      <c r="AB188" s="47" t="str">
        <f aca="false">IF(L188="","",L188/3*100)</f>
        <v/>
      </c>
      <c r="AC188" s="47" t="str">
        <f aca="false">IF(OR(M188="",AND(N188&lt;&gt;"",N(N188)&lt;Parámetros!$B$15)),"",MAX(0,MIN(100,(M188-1)/4*100)))</f>
        <v/>
      </c>
      <c r="AD188" s="47" t="str">
        <f aca="false">IF(OR(P188="",N(Q188)=0),"",MAX(0,MIN(100,((Q188/(Q188+Parámetros!$B$16))*P188+(Parámetros!$B$16/(Q188+Parámetros!$B$16))*Parámetros!$B$17-0.1)/0.4*100)))</f>
        <v/>
      </c>
      <c r="AE188" s="47" t="str">
        <f aca="false">IF(N(R188)&gt;0,MIN(100,S188/R188*100),"")</f>
        <v/>
      </c>
      <c r="AF188" s="47" t="str">
        <f aca="false">IF(N(U188)&gt;0,MIN(100,T188/(U188*5)*100),"")</f>
        <v/>
      </c>
      <c r="AG188" s="47" t="str">
        <f aca="false">IF(OR(V188="",N(W188)&lt;10),"",(V188-1)/4*100)</f>
        <v/>
      </c>
      <c r="AH188" s="47" t="str">
        <f aca="false">IF($C188="","",COUNT(X188:AG188))</f>
        <v/>
      </c>
      <c r="AI188" s="47" t="str">
        <f aca="false">IF(OR($C188="",N(AH188)&lt;Parámetros!$B$18),"",(IF(ISNUMBER(X188),X188*Parámetros!$B$2,0)+IF(ISNUMBER(Y188),Y188*Parámetros!$B$3,0)+IF(ISNUMBER(Z188),Z188*Parámetros!$B$4,0)+IF(ISNUMBER(AA188),AA188*Parámetros!$B$5,0)+IF(ISNUMBER(AB188),AB188*Parámetros!$B$6,0)+IF(ISNUMBER(AC188),AC188*Parámetros!$B$7,0)+IF(ISNUMBER(AD188),AD188*Parámetros!$B$8,0)+IF(ISNUMBER(AE188),AE188*Parámetros!$B$9,0)+IF(ISNUMBER(AF188),AF188*Parámetros!$B$10,0)+IF(ISNUMBER(AG188),AG188*Parámetros!$B$11,0))/(IF(ISNUMBER(X188),Parámetros!$B$2,0)+IF(ISNUMBER(Y188),Parámetros!$B$3,0)+IF(ISNUMBER(Z188),Parámetros!$B$4,0)+IF(ISNUMBER(AA188),Parámetros!$B$5,0)+IF(ISNUMBER(AB188),Parámetros!$B$6,0)+IF(ISNUMBER(AC188),Parámetros!$B$7,0)+IF(ISNUMBER(AD188),Parámetros!$B$8,0)+IF(ISNUMBER(AE188),Parámetros!$B$9,0)+IF(ISNUMBER(AF188),Parámetros!$B$10,0)+IF(ISNUMBER(AG188),Parámetros!$B$11,0)))</f>
        <v/>
      </c>
      <c r="AJ188" s="47" t="n">
        <f aca="false">IF(AND(ISNUMBER(Y188),N(Y188)&lt;60),69.9,IF(OR(AND(ISNUMBER(AE188),N(AE188)&lt;80),AND(ISNUMBER(AC188),N(AC188)&lt;50,N(O188)&gt;=2)),84.9,100))</f>
        <v>100</v>
      </c>
      <c r="AK188" s="47" t="str">
        <f aca="false">IF(AI188="","",MIN(AI188,AJ188))</f>
        <v/>
      </c>
      <c r="AL188" s="47" t="str">
        <f aca="false">IF($C188="","",IF(AK188="","Gris — menos de 3 fuentes",IF(AND(AK188&lt;Parámetros!$B$14,N188&lt;&gt;"",N(N188)&lt;Parámetros!$B$15,N(Y188)&gt;=60),"Gris — repetir observación",IF(AK188&gt;=Parámetros!$B$13,"Verde",IF(AK188&gt;=Parámetros!$B$14,"Amarillo","Rojo")))))</f>
        <v/>
      </c>
      <c r="AM188" s="47" t="str">
        <f aca="false">IF($C188="","",IF(AND(ISNUMBER(Y188),N(Y188)&lt;60),"Ejecución &lt; 60 %: rojo automático",IF(AND(ISNUMBER(AE188),N(AE188)&lt;80),"PIAR &lt; 80 %: máximo amarillo",IF(AND(ISNUMBER(AC188),N(AC188)&lt;50,N(O188)&gt;=2),"Observación &lt; 50: máximo amarillo",IF(AND(N188&lt;&gt;"",N(N188)&lt;Parámetros!$B$15),"κ &lt; 0,60: observación descartada, repetir","")))))</f>
        <v/>
      </c>
    </row>
    <row r="189" customFormat="false" ht="15" hidden="false" customHeight="fals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7" t="str">
        <f aca="false">IF(N(E189)&gt;0,MIN(100,F189/E189*100),"")</f>
        <v/>
      </c>
      <c r="Y189" s="47" t="str">
        <f aca="false">IF(N(G189)&gt;0,MIN(100,H189/G189*100),"")</f>
        <v/>
      </c>
      <c r="Z189" s="47" t="str">
        <f aca="false">IF(N(I189)&gt;0,MIN(100,J189/I189*100),"")</f>
        <v/>
      </c>
      <c r="AA189" s="47" t="str">
        <f aca="false">IF(K189="","",K189/24*100)</f>
        <v/>
      </c>
      <c r="AB189" s="47" t="str">
        <f aca="false">IF(L189="","",L189/3*100)</f>
        <v/>
      </c>
      <c r="AC189" s="47" t="str">
        <f aca="false">IF(OR(M189="",AND(N189&lt;&gt;"",N(N189)&lt;Parámetros!$B$15)),"",MAX(0,MIN(100,(M189-1)/4*100)))</f>
        <v/>
      </c>
      <c r="AD189" s="47" t="str">
        <f aca="false">IF(OR(P189="",N(Q189)=0),"",MAX(0,MIN(100,((Q189/(Q189+Parámetros!$B$16))*P189+(Parámetros!$B$16/(Q189+Parámetros!$B$16))*Parámetros!$B$17-0.1)/0.4*100)))</f>
        <v/>
      </c>
      <c r="AE189" s="47" t="str">
        <f aca="false">IF(N(R189)&gt;0,MIN(100,S189/R189*100),"")</f>
        <v/>
      </c>
      <c r="AF189" s="47" t="str">
        <f aca="false">IF(N(U189)&gt;0,MIN(100,T189/(U189*5)*100),"")</f>
        <v/>
      </c>
      <c r="AG189" s="47" t="str">
        <f aca="false">IF(OR(V189="",N(W189)&lt;10),"",(V189-1)/4*100)</f>
        <v/>
      </c>
      <c r="AH189" s="47" t="str">
        <f aca="false">IF($C189="","",COUNT(X189:AG189))</f>
        <v/>
      </c>
      <c r="AI189" s="47" t="str">
        <f aca="false">IF(OR($C189="",N(AH189)&lt;Parámetros!$B$18),"",(IF(ISNUMBER(X189),X189*Parámetros!$B$2,0)+IF(ISNUMBER(Y189),Y189*Parámetros!$B$3,0)+IF(ISNUMBER(Z189),Z189*Parámetros!$B$4,0)+IF(ISNUMBER(AA189),AA189*Parámetros!$B$5,0)+IF(ISNUMBER(AB189),AB189*Parámetros!$B$6,0)+IF(ISNUMBER(AC189),AC189*Parámetros!$B$7,0)+IF(ISNUMBER(AD189),AD189*Parámetros!$B$8,0)+IF(ISNUMBER(AE189),AE189*Parámetros!$B$9,0)+IF(ISNUMBER(AF189),AF189*Parámetros!$B$10,0)+IF(ISNUMBER(AG189),AG189*Parámetros!$B$11,0))/(IF(ISNUMBER(X189),Parámetros!$B$2,0)+IF(ISNUMBER(Y189),Parámetros!$B$3,0)+IF(ISNUMBER(Z189),Parámetros!$B$4,0)+IF(ISNUMBER(AA189),Parámetros!$B$5,0)+IF(ISNUMBER(AB189),Parámetros!$B$6,0)+IF(ISNUMBER(AC189),Parámetros!$B$7,0)+IF(ISNUMBER(AD189),Parámetros!$B$8,0)+IF(ISNUMBER(AE189),Parámetros!$B$9,0)+IF(ISNUMBER(AF189),Parámetros!$B$10,0)+IF(ISNUMBER(AG189),Parámetros!$B$11,0)))</f>
        <v/>
      </c>
      <c r="AJ189" s="47" t="n">
        <f aca="false">IF(AND(ISNUMBER(Y189),N(Y189)&lt;60),69.9,IF(OR(AND(ISNUMBER(AE189),N(AE189)&lt;80),AND(ISNUMBER(AC189),N(AC189)&lt;50,N(O189)&gt;=2)),84.9,100))</f>
        <v>100</v>
      </c>
      <c r="AK189" s="47" t="str">
        <f aca="false">IF(AI189="","",MIN(AI189,AJ189))</f>
        <v/>
      </c>
      <c r="AL189" s="47" t="str">
        <f aca="false">IF($C189="","",IF(AK189="","Gris — menos de 3 fuentes",IF(AND(AK189&lt;Parámetros!$B$14,N189&lt;&gt;"",N(N189)&lt;Parámetros!$B$15,N(Y189)&gt;=60),"Gris — repetir observación",IF(AK189&gt;=Parámetros!$B$13,"Verde",IF(AK189&gt;=Parámetros!$B$14,"Amarillo","Rojo")))))</f>
        <v/>
      </c>
      <c r="AM189" s="47" t="str">
        <f aca="false">IF($C189="","",IF(AND(ISNUMBER(Y189),N(Y189)&lt;60),"Ejecución &lt; 60 %: rojo automático",IF(AND(ISNUMBER(AE189),N(AE189)&lt;80),"PIAR &lt; 80 %: máximo amarillo",IF(AND(ISNUMBER(AC189),N(AC189)&lt;50,N(O189)&gt;=2),"Observación &lt; 50: máximo amarillo",IF(AND(N189&lt;&gt;"",N(N189)&lt;Parámetros!$B$15),"κ &lt; 0,60: observación descartada, repetir","")))))</f>
        <v/>
      </c>
    </row>
    <row r="190" customFormat="false" ht="15" hidden="false" customHeight="fals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7" t="str">
        <f aca="false">IF(N(E190)&gt;0,MIN(100,F190/E190*100),"")</f>
        <v/>
      </c>
      <c r="Y190" s="47" t="str">
        <f aca="false">IF(N(G190)&gt;0,MIN(100,H190/G190*100),"")</f>
        <v/>
      </c>
      <c r="Z190" s="47" t="str">
        <f aca="false">IF(N(I190)&gt;0,MIN(100,J190/I190*100),"")</f>
        <v/>
      </c>
      <c r="AA190" s="47" t="str">
        <f aca="false">IF(K190="","",K190/24*100)</f>
        <v/>
      </c>
      <c r="AB190" s="47" t="str">
        <f aca="false">IF(L190="","",L190/3*100)</f>
        <v/>
      </c>
      <c r="AC190" s="47" t="str">
        <f aca="false">IF(OR(M190="",AND(N190&lt;&gt;"",N(N190)&lt;Parámetros!$B$15)),"",MAX(0,MIN(100,(M190-1)/4*100)))</f>
        <v/>
      </c>
      <c r="AD190" s="47" t="str">
        <f aca="false">IF(OR(P190="",N(Q190)=0),"",MAX(0,MIN(100,((Q190/(Q190+Parámetros!$B$16))*P190+(Parámetros!$B$16/(Q190+Parámetros!$B$16))*Parámetros!$B$17-0.1)/0.4*100)))</f>
        <v/>
      </c>
      <c r="AE190" s="47" t="str">
        <f aca="false">IF(N(R190)&gt;0,MIN(100,S190/R190*100),"")</f>
        <v/>
      </c>
      <c r="AF190" s="47" t="str">
        <f aca="false">IF(N(U190)&gt;0,MIN(100,T190/(U190*5)*100),"")</f>
        <v/>
      </c>
      <c r="AG190" s="47" t="str">
        <f aca="false">IF(OR(V190="",N(W190)&lt;10),"",(V190-1)/4*100)</f>
        <v/>
      </c>
      <c r="AH190" s="47" t="str">
        <f aca="false">IF($C190="","",COUNT(X190:AG190))</f>
        <v/>
      </c>
      <c r="AI190" s="47" t="str">
        <f aca="false">IF(OR($C190="",N(AH190)&lt;Parámetros!$B$18),"",(IF(ISNUMBER(X190),X190*Parámetros!$B$2,0)+IF(ISNUMBER(Y190),Y190*Parámetros!$B$3,0)+IF(ISNUMBER(Z190),Z190*Parámetros!$B$4,0)+IF(ISNUMBER(AA190),AA190*Parámetros!$B$5,0)+IF(ISNUMBER(AB190),AB190*Parámetros!$B$6,0)+IF(ISNUMBER(AC190),AC190*Parámetros!$B$7,0)+IF(ISNUMBER(AD190),AD190*Parámetros!$B$8,0)+IF(ISNUMBER(AE190),AE190*Parámetros!$B$9,0)+IF(ISNUMBER(AF190),AF190*Parámetros!$B$10,0)+IF(ISNUMBER(AG190),AG190*Parámetros!$B$11,0))/(IF(ISNUMBER(X190),Parámetros!$B$2,0)+IF(ISNUMBER(Y190),Parámetros!$B$3,0)+IF(ISNUMBER(Z190),Parámetros!$B$4,0)+IF(ISNUMBER(AA190),Parámetros!$B$5,0)+IF(ISNUMBER(AB190),Parámetros!$B$6,0)+IF(ISNUMBER(AC190),Parámetros!$B$7,0)+IF(ISNUMBER(AD190),Parámetros!$B$8,0)+IF(ISNUMBER(AE190),Parámetros!$B$9,0)+IF(ISNUMBER(AF190),Parámetros!$B$10,0)+IF(ISNUMBER(AG190),Parámetros!$B$11,0)))</f>
        <v/>
      </c>
      <c r="AJ190" s="47" t="n">
        <f aca="false">IF(AND(ISNUMBER(Y190),N(Y190)&lt;60),69.9,IF(OR(AND(ISNUMBER(AE190),N(AE190)&lt;80),AND(ISNUMBER(AC190),N(AC190)&lt;50,N(O190)&gt;=2)),84.9,100))</f>
        <v>100</v>
      </c>
      <c r="AK190" s="47" t="str">
        <f aca="false">IF(AI190="","",MIN(AI190,AJ190))</f>
        <v/>
      </c>
      <c r="AL190" s="47" t="str">
        <f aca="false">IF($C190="","",IF(AK190="","Gris — menos de 3 fuentes",IF(AND(AK190&lt;Parámetros!$B$14,N190&lt;&gt;"",N(N190)&lt;Parámetros!$B$15,N(Y190)&gt;=60),"Gris — repetir observación",IF(AK190&gt;=Parámetros!$B$13,"Verde",IF(AK190&gt;=Parámetros!$B$14,"Amarillo","Rojo")))))</f>
        <v/>
      </c>
      <c r="AM190" s="47" t="str">
        <f aca="false">IF($C190="","",IF(AND(ISNUMBER(Y190),N(Y190)&lt;60),"Ejecución &lt; 60 %: rojo automático",IF(AND(ISNUMBER(AE190),N(AE190)&lt;80),"PIAR &lt; 80 %: máximo amarillo",IF(AND(ISNUMBER(AC190),N(AC190)&lt;50,N(O190)&gt;=2),"Observación &lt; 50: máximo amarillo",IF(AND(N190&lt;&gt;"",N(N190)&lt;Parámetros!$B$15),"κ &lt; 0,60: observación descartada, repetir","")))))</f>
        <v/>
      </c>
    </row>
    <row r="191" customFormat="false" ht="15" hidden="false" customHeight="fals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7" t="str">
        <f aca="false">IF(N(E191)&gt;0,MIN(100,F191/E191*100),"")</f>
        <v/>
      </c>
      <c r="Y191" s="47" t="str">
        <f aca="false">IF(N(G191)&gt;0,MIN(100,H191/G191*100),"")</f>
        <v/>
      </c>
      <c r="Z191" s="47" t="str">
        <f aca="false">IF(N(I191)&gt;0,MIN(100,J191/I191*100),"")</f>
        <v/>
      </c>
      <c r="AA191" s="47" t="str">
        <f aca="false">IF(K191="","",K191/24*100)</f>
        <v/>
      </c>
      <c r="AB191" s="47" t="str">
        <f aca="false">IF(L191="","",L191/3*100)</f>
        <v/>
      </c>
      <c r="AC191" s="47" t="str">
        <f aca="false">IF(OR(M191="",AND(N191&lt;&gt;"",N(N191)&lt;Parámetros!$B$15)),"",MAX(0,MIN(100,(M191-1)/4*100)))</f>
        <v/>
      </c>
      <c r="AD191" s="47" t="str">
        <f aca="false">IF(OR(P191="",N(Q191)=0),"",MAX(0,MIN(100,((Q191/(Q191+Parámetros!$B$16))*P191+(Parámetros!$B$16/(Q191+Parámetros!$B$16))*Parámetros!$B$17-0.1)/0.4*100)))</f>
        <v/>
      </c>
      <c r="AE191" s="47" t="str">
        <f aca="false">IF(N(R191)&gt;0,MIN(100,S191/R191*100),"")</f>
        <v/>
      </c>
      <c r="AF191" s="47" t="str">
        <f aca="false">IF(N(U191)&gt;0,MIN(100,T191/(U191*5)*100),"")</f>
        <v/>
      </c>
      <c r="AG191" s="47" t="str">
        <f aca="false">IF(OR(V191="",N(W191)&lt;10),"",(V191-1)/4*100)</f>
        <v/>
      </c>
      <c r="AH191" s="47" t="str">
        <f aca="false">IF($C191="","",COUNT(X191:AG191))</f>
        <v/>
      </c>
      <c r="AI191" s="47" t="str">
        <f aca="false">IF(OR($C191="",N(AH191)&lt;Parámetros!$B$18),"",(IF(ISNUMBER(X191),X191*Parámetros!$B$2,0)+IF(ISNUMBER(Y191),Y191*Parámetros!$B$3,0)+IF(ISNUMBER(Z191),Z191*Parámetros!$B$4,0)+IF(ISNUMBER(AA191),AA191*Parámetros!$B$5,0)+IF(ISNUMBER(AB191),AB191*Parámetros!$B$6,0)+IF(ISNUMBER(AC191),AC191*Parámetros!$B$7,0)+IF(ISNUMBER(AD191),AD191*Parámetros!$B$8,0)+IF(ISNUMBER(AE191),AE191*Parámetros!$B$9,0)+IF(ISNUMBER(AF191),AF191*Parámetros!$B$10,0)+IF(ISNUMBER(AG191),AG191*Parámetros!$B$11,0))/(IF(ISNUMBER(X191),Parámetros!$B$2,0)+IF(ISNUMBER(Y191),Parámetros!$B$3,0)+IF(ISNUMBER(Z191),Parámetros!$B$4,0)+IF(ISNUMBER(AA191),Parámetros!$B$5,0)+IF(ISNUMBER(AB191),Parámetros!$B$6,0)+IF(ISNUMBER(AC191),Parámetros!$B$7,0)+IF(ISNUMBER(AD191),Parámetros!$B$8,0)+IF(ISNUMBER(AE191),Parámetros!$B$9,0)+IF(ISNUMBER(AF191),Parámetros!$B$10,0)+IF(ISNUMBER(AG191),Parámetros!$B$11,0)))</f>
        <v/>
      </c>
      <c r="AJ191" s="47" t="n">
        <f aca="false">IF(AND(ISNUMBER(Y191),N(Y191)&lt;60),69.9,IF(OR(AND(ISNUMBER(AE191),N(AE191)&lt;80),AND(ISNUMBER(AC191),N(AC191)&lt;50,N(O191)&gt;=2)),84.9,100))</f>
        <v>100</v>
      </c>
      <c r="AK191" s="47" t="str">
        <f aca="false">IF(AI191="","",MIN(AI191,AJ191))</f>
        <v/>
      </c>
      <c r="AL191" s="47" t="str">
        <f aca="false">IF($C191="","",IF(AK191="","Gris — menos de 3 fuentes",IF(AND(AK191&lt;Parámetros!$B$14,N191&lt;&gt;"",N(N191)&lt;Parámetros!$B$15,N(Y191)&gt;=60),"Gris — repetir observación",IF(AK191&gt;=Parámetros!$B$13,"Verde",IF(AK191&gt;=Parámetros!$B$14,"Amarillo","Rojo")))))</f>
        <v/>
      </c>
      <c r="AM191" s="47" t="str">
        <f aca="false">IF($C191="","",IF(AND(ISNUMBER(Y191),N(Y191)&lt;60),"Ejecución &lt; 60 %: rojo automático",IF(AND(ISNUMBER(AE191),N(AE191)&lt;80),"PIAR &lt; 80 %: máximo amarillo",IF(AND(ISNUMBER(AC191),N(AC191)&lt;50,N(O191)&gt;=2),"Observación &lt; 50: máximo amarillo",IF(AND(N191&lt;&gt;"",N(N191)&lt;Parámetros!$B$15),"κ &lt; 0,60: observación descartada, repetir","")))))</f>
        <v/>
      </c>
    </row>
    <row r="192" customFormat="false" ht="15" hidden="false" customHeight="fals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7" t="str">
        <f aca="false">IF(N(E192)&gt;0,MIN(100,F192/E192*100),"")</f>
        <v/>
      </c>
      <c r="Y192" s="47" t="str">
        <f aca="false">IF(N(G192)&gt;0,MIN(100,H192/G192*100),"")</f>
        <v/>
      </c>
      <c r="Z192" s="47" t="str">
        <f aca="false">IF(N(I192)&gt;0,MIN(100,J192/I192*100),"")</f>
        <v/>
      </c>
      <c r="AA192" s="47" t="str">
        <f aca="false">IF(K192="","",K192/24*100)</f>
        <v/>
      </c>
      <c r="AB192" s="47" t="str">
        <f aca="false">IF(L192="","",L192/3*100)</f>
        <v/>
      </c>
      <c r="AC192" s="47" t="str">
        <f aca="false">IF(OR(M192="",AND(N192&lt;&gt;"",N(N192)&lt;Parámetros!$B$15)),"",MAX(0,MIN(100,(M192-1)/4*100)))</f>
        <v/>
      </c>
      <c r="AD192" s="47" t="str">
        <f aca="false">IF(OR(P192="",N(Q192)=0),"",MAX(0,MIN(100,((Q192/(Q192+Parámetros!$B$16))*P192+(Parámetros!$B$16/(Q192+Parámetros!$B$16))*Parámetros!$B$17-0.1)/0.4*100)))</f>
        <v/>
      </c>
      <c r="AE192" s="47" t="str">
        <f aca="false">IF(N(R192)&gt;0,MIN(100,S192/R192*100),"")</f>
        <v/>
      </c>
      <c r="AF192" s="47" t="str">
        <f aca="false">IF(N(U192)&gt;0,MIN(100,T192/(U192*5)*100),"")</f>
        <v/>
      </c>
      <c r="AG192" s="47" t="str">
        <f aca="false">IF(OR(V192="",N(W192)&lt;10),"",(V192-1)/4*100)</f>
        <v/>
      </c>
      <c r="AH192" s="47" t="str">
        <f aca="false">IF($C192="","",COUNT(X192:AG192))</f>
        <v/>
      </c>
      <c r="AI192" s="47" t="str">
        <f aca="false">IF(OR($C192="",N(AH192)&lt;Parámetros!$B$18),"",(IF(ISNUMBER(X192),X192*Parámetros!$B$2,0)+IF(ISNUMBER(Y192),Y192*Parámetros!$B$3,0)+IF(ISNUMBER(Z192),Z192*Parámetros!$B$4,0)+IF(ISNUMBER(AA192),AA192*Parámetros!$B$5,0)+IF(ISNUMBER(AB192),AB192*Parámetros!$B$6,0)+IF(ISNUMBER(AC192),AC192*Parámetros!$B$7,0)+IF(ISNUMBER(AD192),AD192*Parámetros!$B$8,0)+IF(ISNUMBER(AE192),AE192*Parámetros!$B$9,0)+IF(ISNUMBER(AF192),AF192*Parámetros!$B$10,0)+IF(ISNUMBER(AG192),AG192*Parámetros!$B$11,0))/(IF(ISNUMBER(X192),Parámetros!$B$2,0)+IF(ISNUMBER(Y192),Parámetros!$B$3,0)+IF(ISNUMBER(Z192),Parámetros!$B$4,0)+IF(ISNUMBER(AA192),Parámetros!$B$5,0)+IF(ISNUMBER(AB192),Parámetros!$B$6,0)+IF(ISNUMBER(AC192),Parámetros!$B$7,0)+IF(ISNUMBER(AD192),Parámetros!$B$8,0)+IF(ISNUMBER(AE192),Parámetros!$B$9,0)+IF(ISNUMBER(AF192),Parámetros!$B$10,0)+IF(ISNUMBER(AG192),Parámetros!$B$11,0)))</f>
        <v/>
      </c>
      <c r="AJ192" s="47" t="n">
        <f aca="false">IF(AND(ISNUMBER(Y192),N(Y192)&lt;60),69.9,IF(OR(AND(ISNUMBER(AE192),N(AE192)&lt;80),AND(ISNUMBER(AC192),N(AC192)&lt;50,N(O192)&gt;=2)),84.9,100))</f>
        <v>100</v>
      </c>
      <c r="AK192" s="47" t="str">
        <f aca="false">IF(AI192="","",MIN(AI192,AJ192))</f>
        <v/>
      </c>
      <c r="AL192" s="47" t="str">
        <f aca="false">IF($C192="","",IF(AK192="","Gris — menos de 3 fuentes",IF(AND(AK192&lt;Parámetros!$B$14,N192&lt;&gt;"",N(N192)&lt;Parámetros!$B$15,N(Y192)&gt;=60),"Gris — repetir observación",IF(AK192&gt;=Parámetros!$B$13,"Verde",IF(AK192&gt;=Parámetros!$B$14,"Amarillo","Rojo")))))</f>
        <v/>
      </c>
      <c r="AM192" s="47" t="str">
        <f aca="false">IF($C192="","",IF(AND(ISNUMBER(Y192),N(Y192)&lt;60),"Ejecución &lt; 60 %: rojo automático",IF(AND(ISNUMBER(AE192),N(AE192)&lt;80),"PIAR &lt; 80 %: máximo amarillo",IF(AND(ISNUMBER(AC192),N(AC192)&lt;50,N(O192)&gt;=2),"Observación &lt; 50: máximo amarillo",IF(AND(N192&lt;&gt;"",N(N192)&lt;Parámetros!$B$15),"κ &lt; 0,60: observación descartada, repetir","")))))</f>
        <v/>
      </c>
    </row>
    <row r="193" customFormat="false" ht="15" hidden="false" customHeight="fals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7" t="str">
        <f aca="false">IF(N(E193)&gt;0,MIN(100,F193/E193*100),"")</f>
        <v/>
      </c>
      <c r="Y193" s="47" t="str">
        <f aca="false">IF(N(G193)&gt;0,MIN(100,H193/G193*100),"")</f>
        <v/>
      </c>
      <c r="Z193" s="47" t="str">
        <f aca="false">IF(N(I193)&gt;0,MIN(100,J193/I193*100),"")</f>
        <v/>
      </c>
      <c r="AA193" s="47" t="str">
        <f aca="false">IF(K193="","",K193/24*100)</f>
        <v/>
      </c>
      <c r="AB193" s="47" t="str">
        <f aca="false">IF(L193="","",L193/3*100)</f>
        <v/>
      </c>
      <c r="AC193" s="47" t="str">
        <f aca="false">IF(OR(M193="",AND(N193&lt;&gt;"",N(N193)&lt;Parámetros!$B$15)),"",MAX(0,MIN(100,(M193-1)/4*100)))</f>
        <v/>
      </c>
      <c r="AD193" s="47" t="str">
        <f aca="false">IF(OR(P193="",N(Q193)=0),"",MAX(0,MIN(100,((Q193/(Q193+Parámetros!$B$16))*P193+(Parámetros!$B$16/(Q193+Parámetros!$B$16))*Parámetros!$B$17-0.1)/0.4*100)))</f>
        <v/>
      </c>
      <c r="AE193" s="47" t="str">
        <f aca="false">IF(N(R193)&gt;0,MIN(100,S193/R193*100),"")</f>
        <v/>
      </c>
      <c r="AF193" s="47" t="str">
        <f aca="false">IF(N(U193)&gt;0,MIN(100,T193/(U193*5)*100),"")</f>
        <v/>
      </c>
      <c r="AG193" s="47" t="str">
        <f aca="false">IF(OR(V193="",N(W193)&lt;10),"",(V193-1)/4*100)</f>
        <v/>
      </c>
      <c r="AH193" s="47" t="str">
        <f aca="false">IF($C193="","",COUNT(X193:AG193))</f>
        <v/>
      </c>
      <c r="AI193" s="47" t="str">
        <f aca="false">IF(OR($C193="",N(AH193)&lt;Parámetros!$B$18),"",(IF(ISNUMBER(X193),X193*Parámetros!$B$2,0)+IF(ISNUMBER(Y193),Y193*Parámetros!$B$3,0)+IF(ISNUMBER(Z193),Z193*Parámetros!$B$4,0)+IF(ISNUMBER(AA193),AA193*Parámetros!$B$5,0)+IF(ISNUMBER(AB193),AB193*Parámetros!$B$6,0)+IF(ISNUMBER(AC193),AC193*Parámetros!$B$7,0)+IF(ISNUMBER(AD193),AD193*Parámetros!$B$8,0)+IF(ISNUMBER(AE193),AE193*Parámetros!$B$9,0)+IF(ISNUMBER(AF193),AF193*Parámetros!$B$10,0)+IF(ISNUMBER(AG193),AG193*Parámetros!$B$11,0))/(IF(ISNUMBER(X193),Parámetros!$B$2,0)+IF(ISNUMBER(Y193),Parámetros!$B$3,0)+IF(ISNUMBER(Z193),Parámetros!$B$4,0)+IF(ISNUMBER(AA193),Parámetros!$B$5,0)+IF(ISNUMBER(AB193),Parámetros!$B$6,0)+IF(ISNUMBER(AC193),Parámetros!$B$7,0)+IF(ISNUMBER(AD193),Parámetros!$B$8,0)+IF(ISNUMBER(AE193),Parámetros!$B$9,0)+IF(ISNUMBER(AF193),Parámetros!$B$10,0)+IF(ISNUMBER(AG193),Parámetros!$B$11,0)))</f>
        <v/>
      </c>
      <c r="AJ193" s="47" t="n">
        <f aca="false">IF(AND(ISNUMBER(Y193),N(Y193)&lt;60),69.9,IF(OR(AND(ISNUMBER(AE193),N(AE193)&lt;80),AND(ISNUMBER(AC193),N(AC193)&lt;50,N(O193)&gt;=2)),84.9,100))</f>
        <v>100</v>
      </c>
      <c r="AK193" s="47" t="str">
        <f aca="false">IF(AI193="","",MIN(AI193,AJ193))</f>
        <v/>
      </c>
      <c r="AL193" s="47" t="str">
        <f aca="false">IF($C193="","",IF(AK193="","Gris — menos de 3 fuentes",IF(AND(AK193&lt;Parámetros!$B$14,N193&lt;&gt;"",N(N193)&lt;Parámetros!$B$15,N(Y193)&gt;=60),"Gris — repetir observación",IF(AK193&gt;=Parámetros!$B$13,"Verde",IF(AK193&gt;=Parámetros!$B$14,"Amarillo","Rojo")))))</f>
        <v/>
      </c>
      <c r="AM193" s="47" t="str">
        <f aca="false">IF($C193="","",IF(AND(ISNUMBER(Y193),N(Y193)&lt;60),"Ejecución &lt; 60 %: rojo automático",IF(AND(ISNUMBER(AE193),N(AE193)&lt;80),"PIAR &lt; 80 %: máximo amarillo",IF(AND(ISNUMBER(AC193),N(AC193)&lt;50,N(O193)&gt;=2),"Observación &lt; 50: máximo amarillo",IF(AND(N193&lt;&gt;"",N(N193)&lt;Parámetros!$B$15),"κ &lt; 0,60: observación descartada, repetir","")))))</f>
        <v/>
      </c>
    </row>
    <row r="194" customFormat="false" ht="15" hidden="false" customHeight="fals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7" t="str">
        <f aca="false">IF(N(E194)&gt;0,MIN(100,F194/E194*100),"")</f>
        <v/>
      </c>
      <c r="Y194" s="47" t="str">
        <f aca="false">IF(N(G194)&gt;0,MIN(100,H194/G194*100),"")</f>
        <v/>
      </c>
      <c r="Z194" s="47" t="str">
        <f aca="false">IF(N(I194)&gt;0,MIN(100,J194/I194*100),"")</f>
        <v/>
      </c>
      <c r="AA194" s="47" t="str">
        <f aca="false">IF(K194="","",K194/24*100)</f>
        <v/>
      </c>
      <c r="AB194" s="47" t="str">
        <f aca="false">IF(L194="","",L194/3*100)</f>
        <v/>
      </c>
      <c r="AC194" s="47" t="str">
        <f aca="false">IF(OR(M194="",AND(N194&lt;&gt;"",N(N194)&lt;Parámetros!$B$15)),"",MAX(0,MIN(100,(M194-1)/4*100)))</f>
        <v/>
      </c>
      <c r="AD194" s="47" t="str">
        <f aca="false">IF(OR(P194="",N(Q194)=0),"",MAX(0,MIN(100,((Q194/(Q194+Parámetros!$B$16))*P194+(Parámetros!$B$16/(Q194+Parámetros!$B$16))*Parámetros!$B$17-0.1)/0.4*100)))</f>
        <v/>
      </c>
      <c r="AE194" s="47" t="str">
        <f aca="false">IF(N(R194)&gt;0,MIN(100,S194/R194*100),"")</f>
        <v/>
      </c>
      <c r="AF194" s="47" t="str">
        <f aca="false">IF(N(U194)&gt;0,MIN(100,T194/(U194*5)*100),"")</f>
        <v/>
      </c>
      <c r="AG194" s="47" t="str">
        <f aca="false">IF(OR(V194="",N(W194)&lt;10),"",(V194-1)/4*100)</f>
        <v/>
      </c>
      <c r="AH194" s="47" t="str">
        <f aca="false">IF($C194="","",COUNT(X194:AG194))</f>
        <v/>
      </c>
      <c r="AI194" s="47" t="str">
        <f aca="false">IF(OR($C194="",N(AH194)&lt;Parámetros!$B$18),"",(IF(ISNUMBER(X194),X194*Parámetros!$B$2,0)+IF(ISNUMBER(Y194),Y194*Parámetros!$B$3,0)+IF(ISNUMBER(Z194),Z194*Parámetros!$B$4,0)+IF(ISNUMBER(AA194),AA194*Parámetros!$B$5,0)+IF(ISNUMBER(AB194),AB194*Parámetros!$B$6,0)+IF(ISNUMBER(AC194),AC194*Parámetros!$B$7,0)+IF(ISNUMBER(AD194),AD194*Parámetros!$B$8,0)+IF(ISNUMBER(AE194),AE194*Parámetros!$B$9,0)+IF(ISNUMBER(AF194),AF194*Parámetros!$B$10,0)+IF(ISNUMBER(AG194),AG194*Parámetros!$B$11,0))/(IF(ISNUMBER(X194),Parámetros!$B$2,0)+IF(ISNUMBER(Y194),Parámetros!$B$3,0)+IF(ISNUMBER(Z194),Parámetros!$B$4,0)+IF(ISNUMBER(AA194),Parámetros!$B$5,0)+IF(ISNUMBER(AB194),Parámetros!$B$6,0)+IF(ISNUMBER(AC194),Parámetros!$B$7,0)+IF(ISNUMBER(AD194),Parámetros!$B$8,0)+IF(ISNUMBER(AE194),Parámetros!$B$9,0)+IF(ISNUMBER(AF194),Parámetros!$B$10,0)+IF(ISNUMBER(AG194),Parámetros!$B$11,0)))</f>
        <v/>
      </c>
      <c r="AJ194" s="47" t="n">
        <f aca="false">IF(AND(ISNUMBER(Y194),N(Y194)&lt;60),69.9,IF(OR(AND(ISNUMBER(AE194),N(AE194)&lt;80),AND(ISNUMBER(AC194),N(AC194)&lt;50,N(O194)&gt;=2)),84.9,100))</f>
        <v>100</v>
      </c>
      <c r="AK194" s="47" t="str">
        <f aca="false">IF(AI194="","",MIN(AI194,AJ194))</f>
        <v/>
      </c>
      <c r="AL194" s="47" t="str">
        <f aca="false">IF($C194="","",IF(AK194="","Gris — menos de 3 fuentes",IF(AND(AK194&lt;Parámetros!$B$14,N194&lt;&gt;"",N(N194)&lt;Parámetros!$B$15,N(Y194)&gt;=60),"Gris — repetir observación",IF(AK194&gt;=Parámetros!$B$13,"Verde",IF(AK194&gt;=Parámetros!$B$14,"Amarillo","Rojo")))))</f>
        <v/>
      </c>
      <c r="AM194" s="47" t="str">
        <f aca="false">IF($C194="","",IF(AND(ISNUMBER(Y194),N(Y194)&lt;60),"Ejecución &lt; 60 %: rojo automático",IF(AND(ISNUMBER(AE194),N(AE194)&lt;80),"PIAR &lt; 80 %: máximo amarillo",IF(AND(ISNUMBER(AC194),N(AC194)&lt;50,N(O194)&gt;=2),"Observación &lt; 50: máximo amarillo",IF(AND(N194&lt;&gt;"",N(N194)&lt;Parámetros!$B$15),"κ &lt; 0,60: observación descartada, repetir","")))))</f>
        <v/>
      </c>
    </row>
    <row r="195" customFormat="false" ht="15" hidden="false" customHeight="fals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7" t="str">
        <f aca="false">IF(N(E195)&gt;0,MIN(100,F195/E195*100),"")</f>
        <v/>
      </c>
      <c r="Y195" s="47" t="str">
        <f aca="false">IF(N(G195)&gt;0,MIN(100,H195/G195*100),"")</f>
        <v/>
      </c>
      <c r="Z195" s="47" t="str">
        <f aca="false">IF(N(I195)&gt;0,MIN(100,J195/I195*100),"")</f>
        <v/>
      </c>
      <c r="AA195" s="47" t="str">
        <f aca="false">IF(K195="","",K195/24*100)</f>
        <v/>
      </c>
      <c r="AB195" s="47" t="str">
        <f aca="false">IF(L195="","",L195/3*100)</f>
        <v/>
      </c>
      <c r="AC195" s="47" t="str">
        <f aca="false">IF(OR(M195="",AND(N195&lt;&gt;"",N(N195)&lt;Parámetros!$B$15)),"",MAX(0,MIN(100,(M195-1)/4*100)))</f>
        <v/>
      </c>
      <c r="AD195" s="47" t="str">
        <f aca="false">IF(OR(P195="",N(Q195)=0),"",MAX(0,MIN(100,((Q195/(Q195+Parámetros!$B$16))*P195+(Parámetros!$B$16/(Q195+Parámetros!$B$16))*Parámetros!$B$17-0.1)/0.4*100)))</f>
        <v/>
      </c>
      <c r="AE195" s="47" t="str">
        <f aca="false">IF(N(R195)&gt;0,MIN(100,S195/R195*100),"")</f>
        <v/>
      </c>
      <c r="AF195" s="47" t="str">
        <f aca="false">IF(N(U195)&gt;0,MIN(100,T195/(U195*5)*100),"")</f>
        <v/>
      </c>
      <c r="AG195" s="47" t="str">
        <f aca="false">IF(OR(V195="",N(W195)&lt;10),"",(V195-1)/4*100)</f>
        <v/>
      </c>
      <c r="AH195" s="47" t="str">
        <f aca="false">IF($C195="","",COUNT(X195:AG195))</f>
        <v/>
      </c>
      <c r="AI195" s="47" t="str">
        <f aca="false">IF(OR($C195="",N(AH195)&lt;Parámetros!$B$18),"",(IF(ISNUMBER(X195),X195*Parámetros!$B$2,0)+IF(ISNUMBER(Y195),Y195*Parámetros!$B$3,0)+IF(ISNUMBER(Z195),Z195*Parámetros!$B$4,0)+IF(ISNUMBER(AA195),AA195*Parámetros!$B$5,0)+IF(ISNUMBER(AB195),AB195*Parámetros!$B$6,0)+IF(ISNUMBER(AC195),AC195*Parámetros!$B$7,0)+IF(ISNUMBER(AD195),AD195*Parámetros!$B$8,0)+IF(ISNUMBER(AE195),AE195*Parámetros!$B$9,0)+IF(ISNUMBER(AF195),AF195*Parámetros!$B$10,0)+IF(ISNUMBER(AG195),AG195*Parámetros!$B$11,0))/(IF(ISNUMBER(X195),Parámetros!$B$2,0)+IF(ISNUMBER(Y195),Parámetros!$B$3,0)+IF(ISNUMBER(Z195),Parámetros!$B$4,0)+IF(ISNUMBER(AA195),Parámetros!$B$5,0)+IF(ISNUMBER(AB195),Parámetros!$B$6,0)+IF(ISNUMBER(AC195),Parámetros!$B$7,0)+IF(ISNUMBER(AD195),Parámetros!$B$8,0)+IF(ISNUMBER(AE195),Parámetros!$B$9,0)+IF(ISNUMBER(AF195),Parámetros!$B$10,0)+IF(ISNUMBER(AG195),Parámetros!$B$11,0)))</f>
        <v/>
      </c>
      <c r="AJ195" s="47" t="n">
        <f aca="false">IF(AND(ISNUMBER(Y195),N(Y195)&lt;60),69.9,IF(OR(AND(ISNUMBER(AE195),N(AE195)&lt;80),AND(ISNUMBER(AC195),N(AC195)&lt;50,N(O195)&gt;=2)),84.9,100))</f>
        <v>100</v>
      </c>
      <c r="AK195" s="47" t="str">
        <f aca="false">IF(AI195="","",MIN(AI195,AJ195))</f>
        <v/>
      </c>
      <c r="AL195" s="47" t="str">
        <f aca="false">IF($C195="","",IF(AK195="","Gris — menos de 3 fuentes",IF(AND(AK195&lt;Parámetros!$B$14,N195&lt;&gt;"",N(N195)&lt;Parámetros!$B$15,N(Y195)&gt;=60),"Gris — repetir observación",IF(AK195&gt;=Parámetros!$B$13,"Verde",IF(AK195&gt;=Parámetros!$B$14,"Amarillo","Rojo")))))</f>
        <v/>
      </c>
      <c r="AM195" s="47" t="str">
        <f aca="false">IF($C195="","",IF(AND(ISNUMBER(Y195),N(Y195)&lt;60),"Ejecución &lt; 60 %: rojo automático",IF(AND(ISNUMBER(AE195),N(AE195)&lt;80),"PIAR &lt; 80 %: máximo amarillo",IF(AND(ISNUMBER(AC195),N(AC195)&lt;50,N(O195)&gt;=2),"Observación &lt; 50: máximo amarillo",IF(AND(N195&lt;&gt;"",N(N195)&lt;Parámetros!$B$15),"κ &lt; 0,60: observación descartada, repetir","")))))</f>
        <v/>
      </c>
    </row>
    <row r="196" customFormat="false" ht="15" hidden="false" customHeight="fals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7" t="str">
        <f aca="false">IF(N(E196)&gt;0,MIN(100,F196/E196*100),"")</f>
        <v/>
      </c>
      <c r="Y196" s="47" t="str">
        <f aca="false">IF(N(G196)&gt;0,MIN(100,H196/G196*100),"")</f>
        <v/>
      </c>
      <c r="Z196" s="47" t="str">
        <f aca="false">IF(N(I196)&gt;0,MIN(100,J196/I196*100),"")</f>
        <v/>
      </c>
      <c r="AA196" s="47" t="str">
        <f aca="false">IF(K196="","",K196/24*100)</f>
        <v/>
      </c>
      <c r="AB196" s="47" t="str">
        <f aca="false">IF(L196="","",L196/3*100)</f>
        <v/>
      </c>
      <c r="AC196" s="47" t="str">
        <f aca="false">IF(OR(M196="",AND(N196&lt;&gt;"",N(N196)&lt;Parámetros!$B$15)),"",MAX(0,MIN(100,(M196-1)/4*100)))</f>
        <v/>
      </c>
      <c r="AD196" s="47" t="str">
        <f aca="false">IF(OR(P196="",N(Q196)=0),"",MAX(0,MIN(100,((Q196/(Q196+Parámetros!$B$16))*P196+(Parámetros!$B$16/(Q196+Parámetros!$B$16))*Parámetros!$B$17-0.1)/0.4*100)))</f>
        <v/>
      </c>
      <c r="AE196" s="47" t="str">
        <f aca="false">IF(N(R196)&gt;0,MIN(100,S196/R196*100),"")</f>
        <v/>
      </c>
      <c r="AF196" s="47" t="str">
        <f aca="false">IF(N(U196)&gt;0,MIN(100,T196/(U196*5)*100),"")</f>
        <v/>
      </c>
      <c r="AG196" s="47" t="str">
        <f aca="false">IF(OR(V196="",N(W196)&lt;10),"",(V196-1)/4*100)</f>
        <v/>
      </c>
      <c r="AH196" s="47" t="str">
        <f aca="false">IF($C196="","",COUNT(X196:AG196))</f>
        <v/>
      </c>
      <c r="AI196" s="47" t="str">
        <f aca="false">IF(OR($C196="",N(AH196)&lt;Parámetros!$B$18),"",(IF(ISNUMBER(X196),X196*Parámetros!$B$2,0)+IF(ISNUMBER(Y196),Y196*Parámetros!$B$3,0)+IF(ISNUMBER(Z196),Z196*Parámetros!$B$4,0)+IF(ISNUMBER(AA196),AA196*Parámetros!$B$5,0)+IF(ISNUMBER(AB196),AB196*Parámetros!$B$6,0)+IF(ISNUMBER(AC196),AC196*Parámetros!$B$7,0)+IF(ISNUMBER(AD196),AD196*Parámetros!$B$8,0)+IF(ISNUMBER(AE196),AE196*Parámetros!$B$9,0)+IF(ISNUMBER(AF196),AF196*Parámetros!$B$10,0)+IF(ISNUMBER(AG196),AG196*Parámetros!$B$11,0))/(IF(ISNUMBER(X196),Parámetros!$B$2,0)+IF(ISNUMBER(Y196),Parámetros!$B$3,0)+IF(ISNUMBER(Z196),Parámetros!$B$4,0)+IF(ISNUMBER(AA196),Parámetros!$B$5,0)+IF(ISNUMBER(AB196),Parámetros!$B$6,0)+IF(ISNUMBER(AC196),Parámetros!$B$7,0)+IF(ISNUMBER(AD196),Parámetros!$B$8,0)+IF(ISNUMBER(AE196),Parámetros!$B$9,0)+IF(ISNUMBER(AF196),Parámetros!$B$10,0)+IF(ISNUMBER(AG196),Parámetros!$B$11,0)))</f>
        <v/>
      </c>
      <c r="AJ196" s="47" t="n">
        <f aca="false">IF(AND(ISNUMBER(Y196),N(Y196)&lt;60),69.9,IF(OR(AND(ISNUMBER(AE196),N(AE196)&lt;80),AND(ISNUMBER(AC196),N(AC196)&lt;50,N(O196)&gt;=2)),84.9,100))</f>
        <v>100</v>
      </c>
      <c r="AK196" s="47" t="str">
        <f aca="false">IF(AI196="","",MIN(AI196,AJ196))</f>
        <v/>
      </c>
      <c r="AL196" s="47" t="str">
        <f aca="false">IF($C196="","",IF(AK196="","Gris — menos de 3 fuentes",IF(AND(AK196&lt;Parámetros!$B$14,N196&lt;&gt;"",N(N196)&lt;Parámetros!$B$15,N(Y196)&gt;=60),"Gris — repetir observación",IF(AK196&gt;=Parámetros!$B$13,"Verde",IF(AK196&gt;=Parámetros!$B$14,"Amarillo","Rojo")))))</f>
        <v/>
      </c>
      <c r="AM196" s="47" t="str">
        <f aca="false">IF($C196="","",IF(AND(ISNUMBER(Y196),N(Y196)&lt;60),"Ejecución &lt; 60 %: rojo automático",IF(AND(ISNUMBER(AE196),N(AE196)&lt;80),"PIAR &lt; 80 %: máximo amarillo",IF(AND(ISNUMBER(AC196),N(AC196)&lt;50,N(O196)&gt;=2),"Observación &lt; 50: máximo amarillo",IF(AND(N196&lt;&gt;"",N(N196)&lt;Parámetros!$B$15),"κ &lt; 0,60: observación descartada, repetir","")))))</f>
        <v/>
      </c>
    </row>
    <row r="197" customFormat="false" ht="15" hidden="false" customHeight="fals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7" t="str">
        <f aca="false">IF(N(E197)&gt;0,MIN(100,F197/E197*100),"")</f>
        <v/>
      </c>
      <c r="Y197" s="47" t="str">
        <f aca="false">IF(N(G197)&gt;0,MIN(100,H197/G197*100),"")</f>
        <v/>
      </c>
      <c r="Z197" s="47" t="str">
        <f aca="false">IF(N(I197)&gt;0,MIN(100,J197/I197*100),"")</f>
        <v/>
      </c>
      <c r="AA197" s="47" t="str">
        <f aca="false">IF(K197="","",K197/24*100)</f>
        <v/>
      </c>
      <c r="AB197" s="47" t="str">
        <f aca="false">IF(L197="","",L197/3*100)</f>
        <v/>
      </c>
      <c r="AC197" s="47" t="str">
        <f aca="false">IF(OR(M197="",AND(N197&lt;&gt;"",N(N197)&lt;Parámetros!$B$15)),"",MAX(0,MIN(100,(M197-1)/4*100)))</f>
        <v/>
      </c>
      <c r="AD197" s="47" t="str">
        <f aca="false">IF(OR(P197="",N(Q197)=0),"",MAX(0,MIN(100,((Q197/(Q197+Parámetros!$B$16))*P197+(Parámetros!$B$16/(Q197+Parámetros!$B$16))*Parámetros!$B$17-0.1)/0.4*100)))</f>
        <v/>
      </c>
      <c r="AE197" s="47" t="str">
        <f aca="false">IF(N(R197)&gt;0,MIN(100,S197/R197*100),"")</f>
        <v/>
      </c>
      <c r="AF197" s="47" t="str">
        <f aca="false">IF(N(U197)&gt;0,MIN(100,T197/(U197*5)*100),"")</f>
        <v/>
      </c>
      <c r="AG197" s="47" t="str">
        <f aca="false">IF(OR(V197="",N(W197)&lt;10),"",(V197-1)/4*100)</f>
        <v/>
      </c>
      <c r="AH197" s="47" t="str">
        <f aca="false">IF($C197="","",COUNT(X197:AG197))</f>
        <v/>
      </c>
      <c r="AI197" s="47" t="str">
        <f aca="false">IF(OR($C197="",N(AH197)&lt;Parámetros!$B$18),"",(IF(ISNUMBER(X197),X197*Parámetros!$B$2,0)+IF(ISNUMBER(Y197),Y197*Parámetros!$B$3,0)+IF(ISNUMBER(Z197),Z197*Parámetros!$B$4,0)+IF(ISNUMBER(AA197),AA197*Parámetros!$B$5,0)+IF(ISNUMBER(AB197),AB197*Parámetros!$B$6,0)+IF(ISNUMBER(AC197),AC197*Parámetros!$B$7,0)+IF(ISNUMBER(AD197),AD197*Parámetros!$B$8,0)+IF(ISNUMBER(AE197),AE197*Parámetros!$B$9,0)+IF(ISNUMBER(AF197),AF197*Parámetros!$B$10,0)+IF(ISNUMBER(AG197),AG197*Parámetros!$B$11,0))/(IF(ISNUMBER(X197),Parámetros!$B$2,0)+IF(ISNUMBER(Y197),Parámetros!$B$3,0)+IF(ISNUMBER(Z197),Parámetros!$B$4,0)+IF(ISNUMBER(AA197),Parámetros!$B$5,0)+IF(ISNUMBER(AB197),Parámetros!$B$6,0)+IF(ISNUMBER(AC197),Parámetros!$B$7,0)+IF(ISNUMBER(AD197),Parámetros!$B$8,0)+IF(ISNUMBER(AE197),Parámetros!$B$9,0)+IF(ISNUMBER(AF197),Parámetros!$B$10,0)+IF(ISNUMBER(AG197),Parámetros!$B$11,0)))</f>
        <v/>
      </c>
      <c r="AJ197" s="47" t="n">
        <f aca="false">IF(AND(ISNUMBER(Y197),N(Y197)&lt;60),69.9,IF(OR(AND(ISNUMBER(AE197),N(AE197)&lt;80),AND(ISNUMBER(AC197),N(AC197)&lt;50,N(O197)&gt;=2)),84.9,100))</f>
        <v>100</v>
      </c>
      <c r="AK197" s="47" t="str">
        <f aca="false">IF(AI197="","",MIN(AI197,AJ197))</f>
        <v/>
      </c>
      <c r="AL197" s="47" t="str">
        <f aca="false">IF($C197="","",IF(AK197="","Gris — menos de 3 fuentes",IF(AND(AK197&lt;Parámetros!$B$14,N197&lt;&gt;"",N(N197)&lt;Parámetros!$B$15,N(Y197)&gt;=60),"Gris — repetir observación",IF(AK197&gt;=Parámetros!$B$13,"Verde",IF(AK197&gt;=Parámetros!$B$14,"Amarillo","Rojo")))))</f>
        <v/>
      </c>
      <c r="AM197" s="47" t="str">
        <f aca="false">IF($C197="","",IF(AND(ISNUMBER(Y197),N(Y197)&lt;60),"Ejecución &lt; 60 %: rojo automático",IF(AND(ISNUMBER(AE197),N(AE197)&lt;80),"PIAR &lt; 80 %: máximo amarillo",IF(AND(ISNUMBER(AC197),N(AC197)&lt;50,N(O197)&gt;=2),"Observación &lt; 50: máximo amarillo",IF(AND(N197&lt;&gt;"",N(N197)&lt;Parámetros!$B$15),"κ &lt; 0,60: observación descartada, repetir","")))))</f>
        <v/>
      </c>
    </row>
    <row r="198" customFormat="false" ht="15" hidden="false" customHeight="fals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7" t="str">
        <f aca="false">IF(N(E198)&gt;0,MIN(100,F198/E198*100),"")</f>
        <v/>
      </c>
      <c r="Y198" s="47" t="str">
        <f aca="false">IF(N(G198)&gt;0,MIN(100,H198/G198*100),"")</f>
        <v/>
      </c>
      <c r="Z198" s="47" t="str">
        <f aca="false">IF(N(I198)&gt;0,MIN(100,J198/I198*100),"")</f>
        <v/>
      </c>
      <c r="AA198" s="47" t="str">
        <f aca="false">IF(K198="","",K198/24*100)</f>
        <v/>
      </c>
      <c r="AB198" s="47" t="str">
        <f aca="false">IF(L198="","",L198/3*100)</f>
        <v/>
      </c>
      <c r="AC198" s="47" t="str">
        <f aca="false">IF(OR(M198="",AND(N198&lt;&gt;"",N(N198)&lt;Parámetros!$B$15)),"",MAX(0,MIN(100,(M198-1)/4*100)))</f>
        <v/>
      </c>
      <c r="AD198" s="47" t="str">
        <f aca="false">IF(OR(P198="",N(Q198)=0),"",MAX(0,MIN(100,((Q198/(Q198+Parámetros!$B$16))*P198+(Parámetros!$B$16/(Q198+Parámetros!$B$16))*Parámetros!$B$17-0.1)/0.4*100)))</f>
        <v/>
      </c>
      <c r="AE198" s="47" t="str">
        <f aca="false">IF(N(R198)&gt;0,MIN(100,S198/R198*100),"")</f>
        <v/>
      </c>
      <c r="AF198" s="47" t="str">
        <f aca="false">IF(N(U198)&gt;0,MIN(100,T198/(U198*5)*100),"")</f>
        <v/>
      </c>
      <c r="AG198" s="47" t="str">
        <f aca="false">IF(OR(V198="",N(W198)&lt;10),"",(V198-1)/4*100)</f>
        <v/>
      </c>
      <c r="AH198" s="47" t="str">
        <f aca="false">IF($C198="","",COUNT(X198:AG198))</f>
        <v/>
      </c>
      <c r="AI198" s="47" t="str">
        <f aca="false">IF(OR($C198="",N(AH198)&lt;Parámetros!$B$18),"",(IF(ISNUMBER(X198),X198*Parámetros!$B$2,0)+IF(ISNUMBER(Y198),Y198*Parámetros!$B$3,0)+IF(ISNUMBER(Z198),Z198*Parámetros!$B$4,0)+IF(ISNUMBER(AA198),AA198*Parámetros!$B$5,0)+IF(ISNUMBER(AB198),AB198*Parámetros!$B$6,0)+IF(ISNUMBER(AC198),AC198*Parámetros!$B$7,0)+IF(ISNUMBER(AD198),AD198*Parámetros!$B$8,0)+IF(ISNUMBER(AE198),AE198*Parámetros!$B$9,0)+IF(ISNUMBER(AF198),AF198*Parámetros!$B$10,0)+IF(ISNUMBER(AG198),AG198*Parámetros!$B$11,0))/(IF(ISNUMBER(X198),Parámetros!$B$2,0)+IF(ISNUMBER(Y198),Parámetros!$B$3,0)+IF(ISNUMBER(Z198),Parámetros!$B$4,0)+IF(ISNUMBER(AA198),Parámetros!$B$5,0)+IF(ISNUMBER(AB198),Parámetros!$B$6,0)+IF(ISNUMBER(AC198),Parámetros!$B$7,0)+IF(ISNUMBER(AD198),Parámetros!$B$8,0)+IF(ISNUMBER(AE198),Parámetros!$B$9,0)+IF(ISNUMBER(AF198),Parámetros!$B$10,0)+IF(ISNUMBER(AG198),Parámetros!$B$11,0)))</f>
        <v/>
      </c>
      <c r="AJ198" s="47" t="n">
        <f aca="false">IF(AND(ISNUMBER(Y198),N(Y198)&lt;60),69.9,IF(OR(AND(ISNUMBER(AE198),N(AE198)&lt;80),AND(ISNUMBER(AC198),N(AC198)&lt;50,N(O198)&gt;=2)),84.9,100))</f>
        <v>100</v>
      </c>
      <c r="AK198" s="47" t="str">
        <f aca="false">IF(AI198="","",MIN(AI198,AJ198))</f>
        <v/>
      </c>
      <c r="AL198" s="47" t="str">
        <f aca="false">IF($C198="","",IF(AK198="","Gris — menos de 3 fuentes",IF(AND(AK198&lt;Parámetros!$B$14,N198&lt;&gt;"",N(N198)&lt;Parámetros!$B$15,N(Y198)&gt;=60),"Gris — repetir observación",IF(AK198&gt;=Parámetros!$B$13,"Verde",IF(AK198&gt;=Parámetros!$B$14,"Amarillo","Rojo")))))</f>
        <v/>
      </c>
      <c r="AM198" s="47" t="str">
        <f aca="false">IF($C198="","",IF(AND(ISNUMBER(Y198),N(Y198)&lt;60),"Ejecución &lt; 60 %: rojo automático",IF(AND(ISNUMBER(AE198),N(AE198)&lt;80),"PIAR &lt; 80 %: máximo amarillo",IF(AND(ISNUMBER(AC198),N(AC198)&lt;50,N(O198)&gt;=2),"Observación &lt; 50: máximo amarillo",IF(AND(N198&lt;&gt;"",N(N198)&lt;Parámetros!$B$15),"κ &lt; 0,60: observación descartada, repetir","")))))</f>
        <v/>
      </c>
    </row>
    <row r="199" customFormat="false" ht="15" hidden="false" customHeight="fals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7" t="str">
        <f aca="false">IF(N(E199)&gt;0,MIN(100,F199/E199*100),"")</f>
        <v/>
      </c>
      <c r="Y199" s="47" t="str">
        <f aca="false">IF(N(G199)&gt;0,MIN(100,H199/G199*100),"")</f>
        <v/>
      </c>
      <c r="Z199" s="47" t="str">
        <f aca="false">IF(N(I199)&gt;0,MIN(100,J199/I199*100),"")</f>
        <v/>
      </c>
      <c r="AA199" s="47" t="str">
        <f aca="false">IF(K199="","",K199/24*100)</f>
        <v/>
      </c>
      <c r="AB199" s="47" t="str">
        <f aca="false">IF(L199="","",L199/3*100)</f>
        <v/>
      </c>
      <c r="AC199" s="47" t="str">
        <f aca="false">IF(OR(M199="",AND(N199&lt;&gt;"",N(N199)&lt;Parámetros!$B$15)),"",MAX(0,MIN(100,(M199-1)/4*100)))</f>
        <v/>
      </c>
      <c r="AD199" s="47" t="str">
        <f aca="false">IF(OR(P199="",N(Q199)=0),"",MAX(0,MIN(100,((Q199/(Q199+Parámetros!$B$16))*P199+(Parámetros!$B$16/(Q199+Parámetros!$B$16))*Parámetros!$B$17-0.1)/0.4*100)))</f>
        <v/>
      </c>
      <c r="AE199" s="47" t="str">
        <f aca="false">IF(N(R199)&gt;0,MIN(100,S199/R199*100),"")</f>
        <v/>
      </c>
      <c r="AF199" s="47" t="str">
        <f aca="false">IF(N(U199)&gt;0,MIN(100,T199/(U199*5)*100),"")</f>
        <v/>
      </c>
      <c r="AG199" s="47" t="str">
        <f aca="false">IF(OR(V199="",N(W199)&lt;10),"",(V199-1)/4*100)</f>
        <v/>
      </c>
      <c r="AH199" s="47" t="str">
        <f aca="false">IF($C199="","",COUNT(X199:AG199))</f>
        <v/>
      </c>
      <c r="AI199" s="47" t="str">
        <f aca="false">IF(OR($C199="",N(AH199)&lt;Parámetros!$B$18),"",(IF(ISNUMBER(X199),X199*Parámetros!$B$2,0)+IF(ISNUMBER(Y199),Y199*Parámetros!$B$3,0)+IF(ISNUMBER(Z199),Z199*Parámetros!$B$4,0)+IF(ISNUMBER(AA199),AA199*Parámetros!$B$5,0)+IF(ISNUMBER(AB199),AB199*Parámetros!$B$6,0)+IF(ISNUMBER(AC199),AC199*Parámetros!$B$7,0)+IF(ISNUMBER(AD199),AD199*Parámetros!$B$8,0)+IF(ISNUMBER(AE199),AE199*Parámetros!$B$9,0)+IF(ISNUMBER(AF199),AF199*Parámetros!$B$10,0)+IF(ISNUMBER(AG199),AG199*Parámetros!$B$11,0))/(IF(ISNUMBER(X199),Parámetros!$B$2,0)+IF(ISNUMBER(Y199),Parámetros!$B$3,0)+IF(ISNUMBER(Z199),Parámetros!$B$4,0)+IF(ISNUMBER(AA199),Parámetros!$B$5,0)+IF(ISNUMBER(AB199),Parámetros!$B$6,0)+IF(ISNUMBER(AC199),Parámetros!$B$7,0)+IF(ISNUMBER(AD199),Parámetros!$B$8,0)+IF(ISNUMBER(AE199),Parámetros!$B$9,0)+IF(ISNUMBER(AF199),Parámetros!$B$10,0)+IF(ISNUMBER(AG199),Parámetros!$B$11,0)))</f>
        <v/>
      </c>
      <c r="AJ199" s="47" t="n">
        <f aca="false">IF(AND(ISNUMBER(Y199),N(Y199)&lt;60),69.9,IF(OR(AND(ISNUMBER(AE199),N(AE199)&lt;80),AND(ISNUMBER(AC199),N(AC199)&lt;50,N(O199)&gt;=2)),84.9,100))</f>
        <v>100</v>
      </c>
      <c r="AK199" s="47" t="str">
        <f aca="false">IF(AI199="","",MIN(AI199,AJ199))</f>
        <v/>
      </c>
      <c r="AL199" s="47" t="str">
        <f aca="false">IF($C199="","",IF(AK199="","Gris — menos de 3 fuentes",IF(AND(AK199&lt;Parámetros!$B$14,N199&lt;&gt;"",N(N199)&lt;Parámetros!$B$15,N(Y199)&gt;=60),"Gris — repetir observación",IF(AK199&gt;=Parámetros!$B$13,"Verde",IF(AK199&gt;=Parámetros!$B$14,"Amarillo","Rojo")))))</f>
        <v/>
      </c>
      <c r="AM199" s="47" t="str">
        <f aca="false">IF($C199="","",IF(AND(ISNUMBER(Y199),N(Y199)&lt;60),"Ejecución &lt; 60 %: rojo automático",IF(AND(ISNUMBER(AE199),N(AE199)&lt;80),"PIAR &lt; 80 %: máximo amarillo",IF(AND(ISNUMBER(AC199),N(AC199)&lt;50,N(O199)&gt;=2),"Observación &lt; 50: máximo amarillo",IF(AND(N199&lt;&gt;"",N(N199)&lt;Parámetros!$B$15),"κ &lt; 0,60: observación descartada, repetir","")))))</f>
        <v/>
      </c>
    </row>
    <row r="200" customFormat="false" ht="15" hidden="false" customHeight="fals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7" t="str">
        <f aca="false">IF(N(E200)&gt;0,MIN(100,F200/E200*100),"")</f>
        <v/>
      </c>
      <c r="Y200" s="47" t="str">
        <f aca="false">IF(N(G200)&gt;0,MIN(100,H200/G200*100),"")</f>
        <v/>
      </c>
      <c r="Z200" s="47" t="str">
        <f aca="false">IF(N(I200)&gt;0,MIN(100,J200/I200*100),"")</f>
        <v/>
      </c>
      <c r="AA200" s="47" t="str">
        <f aca="false">IF(K200="","",K200/24*100)</f>
        <v/>
      </c>
      <c r="AB200" s="47" t="str">
        <f aca="false">IF(L200="","",L200/3*100)</f>
        <v/>
      </c>
      <c r="AC200" s="47" t="str">
        <f aca="false">IF(OR(M200="",AND(N200&lt;&gt;"",N(N200)&lt;Parámetros!$B$15)),"",MAX(0,MIN(100,(M200-1)/4*100)))</f>
        <v/>
      </c>
      <c r="AD200" s="47" t="str">
        <f aca="false">IF(OR(P200="",N(Q200)=0),"",MAX(0,MIN(100,((Q200/(Q200+Parámetros!$B$16))*P200+(Parámetros!$B$16/(Q200+Parámetros!$B$16))*Parámetros!$B$17-0.1)/0.4*100)))</f>
        <v/>
      </c>
      <c r="AE200" s="47" t="str">
        <f aca="false">IF(N(R200)&gt;0,MIN(100,S200/R200*100),"")</f>
        <v/>
      </c>
      <c r="AF200" s="47" t="str">
        <f aca="false">IF(N(U200)&gt;0,MIN(100,T200/(U200*5)*100),"")</f>
        <v/>
      </c>
      <c r="AG200" s="47" t="str">
        <f aca="false">IF(OR(V200="",N(W200)&lt;10),"",(V200-1)/4*100)</f>
        <v/>
      </c>
      <c r="AH200" s="47" t="str">
        <f aca="false">IF($C200="","",COUNT(X200:AG200))</f>
        <v/>
      </c>
      <c r="AI200" s="47" t="str">
        <f aca="false">IF(OR($C200="",N(AH200)&lt;Parámetros!$B$18),"",(IF(ISNUMBER(X200),X200*Parámetros!$B$2,0)+IF(ISNUMBER(Y200),Y200*Parámetros!$B$3,0)+IF(ISNUMBER(Z200),Z200*Parámetros!$B$4,0)+IF(ISNUMBER(AA200),AA200*Parámetros!$B$5,0)+IF(ISNUMBER(AB200),AB200*Parámetros!$B$6,0)+IF(ISNUMBER(AC200),AC200*Parámetros!$B$7,0)+IF(ISNUMBER(AD200),AD200*Parámetros!$B$8,0)+IF(ISNUMBER(AE200),AE200*Parámetros!$B$9,0)+IF(ISNUMBER(AF200),AF200*Parámetros!$B$10,0)+IF(ISNUMBER(AG200),AG200*Parámetros!$B$11,0))/(IF(ISNUMBER(X200),Parámetros!$B$2,0)+IF(ISNUMBER(Y200),Parámetros!$B$3,0)+IF(ISNUMBER(Z200),Parámetros!$B$4,0)+IF(ISNUMBER(AA200),Parámetros!$B$5,0)+IF(ISNUMBER(AB200),Parámetros!$B$6,0)+IF(ISNUMBER(AC200),Parámetros!$B$7,0)+IF(ISNUMBER(AD200),Parámetros!$B$8,0)+IF(ISNUMBER(AE200),Parámetros!$B$9,0)+IF(ISNUMBER(AF200),Parámetros!$B$10,0)+IF(ISNUMBER(AG200),Parámetros!$B$11,0)))</f>
        <v/>
      </c>
      <c r="AJ200" s="47" t="n">
        <f aca="false">IF(AND(ISNUMBER(Y200),N(Y200)&lt;60),69.9,IF(OR(AND(ISNUMBER(AE200),N(AE200)&lt;80),AND(ISNUMBER(AC200),N(AC200)&lt;50,N(O200)&gt;=2)),84.9,100))</f>
        <v>100</v>
      </c>
      <c r="AK200" s="47" t="str">
        <f aca="false">IF(AI200="","",MIN(AI200,AJ200))</f>
        <v/>
      </c>
      <c r="AL200" s="47" t="str">
        <f aca="false">IF($C200="","",IF(AK200="","Gris — menos de 3 fuentes",IF(AND(AK200&lt;Parámetros!$B$14,N200&lt;&gt;"",N(N200)&lt;Parámetros!$B$15,N(Y200)&gt;=60),"Gris — repetir observación",IF(AK200&gt;=Parámetros!$B$13,"Verde",IF(AK200&gt;=Parámetros!$B$14,"Amarillo","Rojo")))))</f>
        <v/>
      </c>
      <c r="AM200" s="47" t="str">
        <f aca="false">IF($C200="","",IF(AND(ISNUMBER(Y200),N(Y200)&lt;60),"Ejecución &lt; 60 %: rojo automático",IF(AND(ISNUMBER(AE200),N(AE200)&lt;80),"PIAR &lt; 80 %: máximo amarillo",IF(AND(ISNUMBER(AC200),N(AC200)&lt;50,N(O200)&gt;=2),"Observación &lt; 50: máximo amarillo",IF(AND(N200&lt;&gt;"",N(N200)&lt;Parámetros!$B$15),"κ &lt; 0,60: observación descartada, repetir","")))))</f>
        <v/>
      </c>
    </row>
    <row r="201" customFormat="false" ht="15" hidden="false" customHeight="fals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7" t="str">
        <f aca="false">IF(N(E201)&gt;0,MIN(100,F201/E201*100),"")</f>
        <v/>
      </c>
      <c r="Y201" s="47" t="str">
        <f aca="false">IF(N(G201)&gt;0,MIN(100,H201/G201*100),"")</f>
        <v/>
      </c>
      <c r="Z201" s="47" t="str">
        <f aca="false">IF(N(I201)&gt;0,MIN(100,J201/I201*100),"")</f>
        <v/>
      </c>
      <c r="AA201" s="47" t="str">
        <f aca="false">IF(K201="","",K201/24*100)</f>
        <v/>
      </c>
      <c r="AB201" s="47" t="str">
        <f aca="false">IF(L201="","",L201/3*100)</f>
        <v/>
      </c>
      <c r="AC201" s="47" t="str">
        <f aca="false">IF(OR(M201="",AND(N201&lt;&gt;"",N(N201)&lt;Parámetros!$B$15)),"",MAX(0,MIN(100,(M201-1)/4*100)))</f>
        <v/>
      </c>
      <c r="AD201" s="47" t="str">
        <f aca="false">IF(OR(P201="",N(Q201)=0),"",MAX(0,MIN(100,((Q201/(Q201+Parámetros!$B$16))*P201+(Parámetros!$B$16/(Q201+Parámetros!$B$16))*Parámetros!$B$17-0.1)/0.4*100)))</f>
        <v/>
      </c>
      <c r="AE201" s="47" t="str">
        <f aca="false">IF(N(R201)&gt;0,MIN(100,S201/R201*100),"")</f>
        <v/>
      </c>
      <c r="AF201" s="47" t="str">
        <f aca="false">IF(N(U201)&gt;0,MIN(100,T201/(U201*5)*100),"")</f>
        <v/>
      </c>
      <c r="AG201" s="47" t="str">
        <f aca="false">IF(OR(V201="",N(W201)&lt;10),"",(V201-1)/4*100)</f>
        <v/>
      </c>
      <c r="AH201" s="47" t="str">
        <f aca="false">IF($C201="","",COUNT(X201:AG201))</f>
        <v/>
      </c>
      <c r="AI201" s="47" t="str">
        <f aca="false">IF(OR($C201="",N(AH201)&lt;Parámetros!$B$18),"",(IF(ISNUMBER(X201),X201*Parámetros!$B$2,0)+IF(ISNUMBER(Y201),Y201*Parámetros!$B$3,0)+IF(ISNUMBER(Z201),Z201*Parámetros!$B$4,0)+IF(ISNUMBER(AA201),AA201*Parámetros!$B$5,0)+IF(ISNUMBER(AB201),AB201*Parámetros!$B$6,0)+IF(ISNUMBER(AC201),AC201*Parámetros!$B$7,0)+IF(ISNUMBER(AD201),AD201*Parámetros!$B$8,0)+IF(ISNUMBER(AE201),AE201*Parámetros!$B$9,0)+IF(ISNUMBER(AF201),AF201*Parámetros!$B$10,0)+IF(ISNUMBER(AG201),AG201*Parámetros!$B$11,0))/(IF(ISNUMBER(X201),Parámetros!$B$2,0)+IF(ISNUMBER(Y201),Parámetros!$B$3,0)+IF(ISNUMBER(Z201),Parámetros!$B$4,0)+IF(ISNUMBER(AA201),Parámetros!$B$5,0)+IF(ISNUMBER(AB201),Parámetros!$B$6,0)+IF(ISNUMBER(AC201),Parámetros!$B$7,0)+IF(ISNUMBER(AD201),Parámetros!$B$8,0)+IF(ISNUMBER(AE201),Parámetros!$B$9,0)+IF(ISNUMBER(AF201),Parámetros!$B$10,0)+IF(ISNUMBER(AG201),Parámetros!$B$11,0)))</f>
        <v/>
      </c>
      <c r="AJ201" s="47" t="n">
        <f aca="false">IF(AND(ISNUMBER(Y201),N(Y201)&lt;60),69.9,IF(OR(AND(ISNUMBER(AE201),N(AE201)&lt;80),AND(ISNUMBER(AC201),N(AC201)&lt;50,N(O201)&gt;=2)),84.9,100))</f>
        <v>100</v>
      </c>
      <c r="AK201" s="47" t="str">
        <f aca="false">IF(AI201="","",MIN(AI201,AJ201))</f>
        <v/>
      </c>
      <c r="AL201" s="47" t="str">
        <f aca="false">IF($C201="","",IF(AK201="","Gris — menos de 3 fuentes",IF(AND(AK201&lt;Parámetros!$B$14,N201&lt;&gt;"",N(N201)&lt;Parámetros!$B$15,N(Y201)&gt;=60),"Gris — repetir observación",IF(AK201&gt;=Parámetros!$B$13,"Verde",IF(AK201&gt;=Parámetros!$B$14,"Amarillo","Rojo")))))</f>
        <v/>
      </c>
      <c r="AM201" s="47" t="str">
        <f aca="false">IF($C201="","",IF(AND(ISNUMBER(Y201),N(Y201)&lt;60),"Ejecución &lt; 60 %: rojo automático",IF(AND(ISNUMBER(AE201),N(AE201)&lt;80),"PIAR &lt; 80 %: máximo amarillo",IF(AND(ISNUMBER(AC201),N(AC201)&lt;50,N(O201)&gt;=2),"Observación &lt; 50: máximo amarillo",IF(AND(N201&lt;&gt;"",N(N201)&lt;Parámetros!$B$15),"κ &lt; 0,60: observación descartada, repetir","")))))</f>
        <v/>
      </c>
    </row>
    <row r="202" customFormat="false" ht="15" hidden="false" customHeight="fals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7" t="str">
        <f aca="false">IF(N(E202)&gt;0,MIN(100,F202/E202*100),"")</f>
        <v/>
      </c>
      <c r="Y202" s="47" t="str">
        <f aca="false">IF(N(G202)&gt;0,MIN(100,H202/G202*100),"")</f>
        <v/>
      </c>
      <c r="Z202" s="47" t="str">
        <f aca="false">IF(N(I202)&gt;0,MIN(100,J202/I202*100),"")</f>
        <v/>
      </c>
      <c r="AA202" s="47" t="str">
        <f aca="false">IF(K202="","",K202/24*100)</f>
        <v/>
      </c>
      <c r="AB202" s="47" t="str">
        <f aca="false">IF(L202="","",L202/3*100)</f>
        <v/>
      </c>
      <c r="AC202" s="47" t="str">
        <f aca="false">IF(OR(M202="",AND(N202&lt;&gt;"",N(N202)&lt;Parámetros!$B$15)),"",MAX(0,MIN(100,(M202-1)/4*100)))</f>
        <v/>
      </c>
      <c r="AD202" s="47" t="str">
        <f aca="false">IF(OR(P202="",N(Q202)=0),"",MAX(0,MIN(100,((Q202/(Q202+Parámetros!$B$16))*P202+(Parámetros!$B$16/(Q202+Parámetros!$B$16))*Parámetros!$B$17-0.1)/0.4*100)))</f>
        <v/>
      </c>
      <c r="AE202" s="47" t="str">
        <f aca="false">IF(N(R202)&gt;0,MIN(100,S202/R202*100),"")</f>
        <v/>
      </c>
      <c r="AF202" s="47" t="str">
        <f aca="false">IF(N(U202)&gt;0,MIN(100,T202/(U202*5)*100),"")</f>
        <v/>
      </c>
      <c r="AG202" s="47" t="str">
        <f aca="false">IF(OR(V202="",N(W202)&lt;10),"",(V202-1)/4*100)</f>
        <v/>
      </c>
      <c r="AH202" s="47" t="str">
        <f aca="false">IF($C202="","",COUNT(X202:AG202))</f>
        <v/>
      </c>
      <c r="AI202" s="47" t="str">
        <f aca="false">IF(OR($C202="",N(AH202)&lt;Parámetros!$B$18),"",(IF(ISNUMBER(X202),X202*Parámetros!$B$2,0)+IF(ISNUMBER(Y202),Y202*Parámetros!$B$3,0)+IF(ISNUMBER(Z202),Z202*Parámetros!$B$4,0)+IF(ISNUMBER(AA202),AA202*Parámetros!$B$5,0)+IF(ISNUMBER(AB202),AB202*Parámetros!$B$6,0)+IF(ISNUMBER(AC202),AC202*Parámetros!$B$7,0)+IF(ISNUMBER(AD202),AD202*Parámetros!$B$8,0)+IF(ISNUMBER(AE202),AE202*Parámetros!$B$9,0)+IF(ISNUMBER(AF202),AF202*Parámetros!$B$10,0)+IF(ISNUMBER(AG202),AG202*Parámetros!$B$11,0))/(IF(ISNUMBER(X202),Parámetros!$B$2,0)+IF(ISNUMBER(Y202),Parámetros!$B$3,0)+IF(ISNUMBER(Z202),Parámetros!$B$4,0)+IF(ISNUMBER(AA202),Parámetros!$B$5,0)+IF(ISNUMBER(AB202),Parámetros!$B$6,0)+IF(ISNUMBER(AC202),Parámetros!$B$7,0)+IF(ISNUMBER(AD202),Parámetros!$B$8,0)+IF(ISNUMBER(AE202),Parámetros!$B$9,0)+IF(ISNUMBER(AF202),Parámetros!$B$10,0)+IF(ISNUMBER(AG202),Parámetros!$B$11,0)))</f>
        <v/>
      </c>
      <c r="AJ202" s="47" t="n">
        <f aca="false">IF(AND(ISNUMBER(Y202),N(Y202)&lt;60),69.9,IF(OR(AND(ISNUMBER(AE202),N(AE202)&lt;80),AND(ISNUMBER(AC202),N(AC202)&lt;50,N(O202)&gt;=2)),84.9,100))</f>
        <v>100</v>
      </c>
      <c r="AK202" s="47" t="str">
        <f aca="false">IF(AI202="","",MIN(AI202,AJ202))</f>
        <v/>
      </c>
      <c r="AL202" s="47" t="str">
        <f aca="false">IF($C202="","",IF(AK202="","Gris — menos de 3 fuentes",IF(AND(AK202&lt;Parámetros!$B$14,N202&lt;&gt;"",N(N202)&lt;Parámetros!$B$15,N(Y202)&gt;=60),"Gris — repetir observación",IF(AK202&gt;=Parámetros!$B$13,"Verde",IF(AK202&gt;=Parámetros!$B$14,"Amarillo","Rojo")))))</f>
        <v/>
      </c>
      <c r="AM202" s="47" t="str">
        <f aca="false">IF($C202="","",IF(AND(ISNUMBER(Y202),N(Y202)&lt;60),"Ejecución &lt; 60 %: rojo automático",IF(AND(ISNUMBER(AE202),N(AE202)&lt;80),"PIAR &lt; 80 %: máximo amarillo",IF(AND(ISNUMBER(AC202),N(AC202)&lt;50,N(O202)&gt;=2),"Observación &lt; 50: máximo amarillo",IF(AND(N202&lt;&gt;"",N(N202)&lt;Parámetros!$B$15),"κ &lt; 0,60: observación descartada, repetir","")))))</f>
        <v/>
      </c>
    </row>
    <row r="203" customFormat="false" ht="15" hidden="false" customHeight="fals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7" t="str">
        <f aca="false">IF(N(E203)&gt;0,MIN(100,F203/E203*100),"")</f>
        <v/>
      </c>
      <c r="Y203" s="47" t="str">
        <f aca="false">IF(N(G203)&gt;0,MIN(100,H203/G203*100),"")</f>
        <v/>
      </c>
      <c r="Z203" s="47" t="str">
        <f aca="false">IF(N(I203)&gt;0,MIN(100,J203/I203*100),"")</f>
        <v/>
      </c>
      <c r="AA203" s="47" t="str">
        <f aca="false">IF(K203="","",K203/24*100)</f>
        <v/>
      </c>
      <c r="AB203" s="47" t="str">
        <f aca="false">IF(L203="","",L203/3*100)</f>
        <v/>
      </c>
      <c r="AC203" s="47" t="str">
        <f aca="false">IF(OR(M203="",AND(N203&lt;&gt;"",N(N203)&lt;Parámetros!$B$15)),"",MAX(0,MIN(100,(M203-1)/4*100)))</f>
        <v/>
      </c>
      <c r="AD203" s="47" t="str">
        <f aca="false">IF(OR(P203="",N(Q203)=0),"",MAX(0,MIN(100,((Q203/(Q203+Parámetros!$B$16))*P203+(Parámetros!$B$16/(Q203+Parámetros!$B$16))*Parámetros!$B$17-0.1)/0.4*100)))</f>
        <v/>
      </c>
      <c r="AE203" s="47" t="str">
        <f aca="false">IF(N(R203)&gt;0,MIN(100,S203/R203*100),"")</f>
        <v/>
      </c>
      <c r="AF203" s="47" t="str">
        <f aca="false">IF(N(U203)&gt;0,MIN(100,T203/(U203*5)*100),"")</f>
        <v/>
      </c>
      <c r="AG203" s="47" t="str">
        <f aca="false">IF(OR(V203="",N(W203)&lt;10),"",(V203-1)/4*100)</f>
        <v/>
      </c>
      <c r="AH203" s="47" t="str">
        <f aca="false">IF($C203="","",COUNT(X203:AG203))</f>
        <v/>
      </c>
      <c r="AI203" s="47" t="str">
        <f aca="false">IF(OR($C203="",N(AH203)&lt;Parámetros!$B$18),"",(IF(ISNUMBER(X203),X203*Parámetros!$B$2,0)+IF(ISNUMBER(Y203),Y203*Parámetros!$B$3,0)+IF(ISNUMBER(Z203),Z203*Parámetros!$B$4,0)+IF(ISNUMBER(AA203),AA203*Parámetros!$B$5,0)+IF(ISNUMBER(AB203),AB203*Parámetros!$B$6,0)+IF(ISNUMBER(AC203),AC203*Parámetros!$B$7,0)+IF(ISNUMBER(AD203),AD203*Parámetros!$B$8,0)+IF(ISNUMBER(AE203),AE203*Parámetros!$B$9,0)+IF(ISNUMBER(AF203),AF203*Parámetros!$B$10,0)+IF(ISNUMBER(AG203),AG203*Parámetros!$B$11,0))/(IF(ISNUMBER(X203),Parámetros!$B$2,0)+IF(ISNUMBER(Y203),Parámetros!$B$3,0)+IF(ISNUMBER(Z203),Parámetros!$B$4,0)+IF(ISNUMBER(AA203),Parámetros!$B$5,0)+IF(ISNUMBER(AB203),Parámetros!$B$6,0)+IF(ISNUMBER(AC203),Parámetros!$B$7,0)+IF(ISNUMBER(AD203),Parámetros!$B$8,0)+IF(ISNUMBER(AE203),Parámetros!$B$9,0)+IF(ISNUMBER(AF203),Parámetros!$B$10,0)+IF(ISNUMBER(AG203),Parámetros!$B$11,0)))</f>
        <v/>
      </c>
      <c r="AJ203" s="47" t="n">
        <f aca="false">IF(AND(ISNUMBER(Y203),N(Y203)&lt;60),69.9,IF(OR(AND(ISNUMBER(AE203),N(AE203)&lt;80),AND(ISNUMBER(AC203),N(AC203)&lt;50,N(O203)&gt;=2)),84.9,100))</f>
        <v>100</v>
      </c>
      <c r="AK203" s="47" t="str">
        <f aca="false">IF(AI203="","",MIN(AI203,AJ203))</f>
        <v/>
      </c>
      <c r="AL203" s="47" t="str">
        <f aca="false">IF($C203="","",IF(AK203="","Gris — menos de 3 fuentes",IF(AND(AK203&lt;Parámetros!$B$14,N203&lt;&gt;"",N(N203)&lt;Parámetros!$B$15,N(Y203)&gt;=60),"Gris — repetir observación",IF(AK203&gt;=Parámetros!$B$13,"Verde",IF(AK203&gt;=Parámetros!$B$14,"Amarillo","Rojo")))))</f>
        <v/>
      </c>
      <c r="AM203" s="47" t="str">
        <f aca="false">IF($C203="","",IF(AND(ISNUMBER(Y203),N(Y203)&lt;60),"Ejecución &lt; 60 %: rojo automático",IF(AND(ISNUMBER(AE203),N(AE203)&lt;80),"PIAR &lt; 80 %: máximo amarillo",IF(AND(ISNUMBER(AC203),N(AC203)&lt;50,N(O203)&gt;=2),"Observación &lt; 50: máximo amarillo",IF(AND(N203&lt;&gt;"",N(N203)&lt;Parámetros!$B$15),"κ &lt; 0,60: observación descartada, repetir","")))))</f>
        <v/>
      </c>
    </row>
    <row r="204" customFormat="false" ht="15" hidden="false" customHeight="fals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7" t="str">
        <f aca="false">IF(N(E204)&gt;0,MIN(100,F204/E204*100),"")</f>
        <v/>
      </c>
      <c r="Y204" s="47" t="str">
        <f aca="false">IF(N(G204)&gt;0,MIN(100,H204/G204*100),"")</f>
        <v/>
      </c>
      <c r="Z204" s="47" t="str">
        <f aca="false">IF(N(I204)&gt;0,MIN(100,J204/I204*100),"")</f>
        <v/>
      </c>
      <c r="AA204" s="47" t="str">
        <f aca="false">IF(K204="","",K204/24*100)</f>
        <v/>
      </c>
      <c r="AB204" s="47" t="str">
        <f aca="false">IF(L204="","",L204/3*100)</f>
        <v/>
      </c>
      <c r="AC204" s="47" t="str">
        <f aca="false">IF(OR(M204="",AND(N204&lt;&gt;"",N(N204)&lt;Parámetros!$B$15)),"",MAX(0,MIN(100,(M204-1)/4*100)))</f>
        <v/>
      </c>
      <c r="AD204" s="47" t="str">
        <f aca="false">IF(OR(P204="",N(Q204)=0),"",MAX(0,MIN(100,((Q204/(Q204+Parámetros!$B$16))*P204+(Parámetros!$B$16/(Q204+Parámetros!$B$16))*Parámetros!$B$17-0.1)/0.4*100)))</f>
        <v/>
      </c>
      <c r="AE204" s="47" t="str">
        <f aca="false">IF(N(R204)&gt;0,MIN(100,S204/R204*100),"")</f>
        <v/>
      </c>
      <c r="AF204" s="47" t="str">
        <f aca="false">IF(N(U204)&gt;0,MIN(100,T204/(U204*5)*100),"")</f>
        <v/>
      </c>
      <c r="AG204" s="47" t="str">
        <f aca="false">IF(OR(V204="",N(W204)&lt;10),"",(V204-1)/4*100)</f>
        <v/>
      </c>
      <c r="AH204" s="47" t="str">
        <f aca="false">IF($C204="","",COUNT(X204:AG204))</f>
        <v/>
      </c>
      <c r="AI204" s="47" t="str">
        <f aca="false">IF(OR($C204="",N(AH204)&lt;Parámetros!$B$18),"",(IF(ISNUMBER(X204),X204*Parámetros!$B$2,0)+IF(ISNUMBER(Y204),Y204*Parámetros!$B$3,0)+IF(ISNUMBER(Z204),Z204*Parámetros!$B$4,0)+IF(ISNUMBER(AA204),AA204*Parámetros!$B$5,0)+IF(ISNUMBER(AB204),AB204*Parámetros!$B$6,0)+IF(ISNUMBER(AC204),AC204*Parámetros!$B$7,0)+IF(ISNUMBER(AD204),AD204*Parámetros!$B$8,0)+IF(ISNUMBER(AE204),AE204*Parámetros!$B$9,0)+IF(ISNUMBER(AF204),AF204*Parámetros!$B$10,0)+IF(ISNUMBER(AG204),AG204*Parámetros!$B$11,0))/(IF(ISNUMBER(X204),Parámetros!$B$2,0)+IF(ISNUMBER(Y204),Parámetros!$B$3,0)+IF(ISNUMBER(Z204),Parámetros!$B$4,0)+IF(ISNUMBER(AA204),Parámetros!$B$5,0)+IF(ISNUMBER(AB204),Parámetros!$B$6,0)+IF(ISNUMBER(AC204),Parámetros!$B$7,0)+IF(ISNUMBER(AD204),Parámetros!$B$8,0)+IF(ISNUMBER(AE204),Parámetros!$B$9,0)+IF(ISNUMBER(AF204),Parámetros!$B$10,0)+IF(ISNUMBER(AG204),Parámetros!$B$11,0)))</f>
        <v/>
      </c>
      <c r="AJ204" s="47" t="n">
        <f aca="false">IF(AND(ISNUMBER(Y204),N(Y204)&lt;60),69.9,IF(OR(AND(ISNUMBER(AE204),N(AE204)&lt;80),AND(ISNUMBER(AC204),N(AC204)&lt;50,N(O204)&gt;=2)),84.9,100))</f>
        <v>100</v>
      </c>
      <c r="AK204" s="47" t="str">
        <f aca="false">IF(AI204="","",MIN(AI204,AJ204))</f>
        <v/>
      </c>
      <c r="AL204" s="47" t="str">
        <f aca="false">IF($C204="","",IF(AK204="","Gris — menos de 3 fuentes",IF(AND(AK204&lt;Parámetros!$B$14,N204&lt;&gt;"",N(N204)&lt;Parámetros!$B$15,N(Y204)&gt;=60),"Gris — repetir observación",IF(AK204&gt;=Parámetros!$B$13,"Verde",IF(AK204&gt;=Parámetros!$B$14,"Amarillo","Rojo")))))</f>
        <v/>
      </c>
      <c r="AM204" s="47" t="str">
        <f aca="false">IF($C204="","",IF(AND(ISNUMBER(Y204),N(Y204)&lt;60),"Ejecución &lt; 60 %: rojo automático",IF(AND(ISNUMBER(AE204),N(AE204)&lt;80),"PIAR &lt; 80 %: máximo amarillo",IF(AND(ISNUMBER(AC204),N(AC204)&lt;50,N(O204)&gt;=2),"Observación &lt; 50: máximo amarillo",IF(AND(N204&lt;&gt;"",N(N204)&lt;Parámetros!$B$15),"κ &lt; 0,60: observación descartada, repetir","")))))</f>
        <v/>
      </c>
    </row>
    <row r="205" customFormat="false" ht="15" hidden="false" customHeight="fals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7" t="str">
        <f aca="false">IF(N(E205)&gt;0,MIN(100,F205/E205*100),"")</f>
        <v/>
      </c>
      <c r="Y205" s="47" t="str">
        <f aca="false">IF(N(G205)&gt;0,MIN(100,H205/G205*100),"")</f>
        <v/>
      </c>
      <c r="Z205" s="47" t="str">
        <f aca="false">IF(N(I205)&gt;0,MIN(100,J205/I205*100),"")</f>
        <v/>
      </c>
      <c r="AA205" s="47" t="str">
        <f aca="false">IF(K205="","",K205/24*100)</f>
        <v/>
      </c>
      <c r="AB205" s="47" t="str">
        <f aca="false">IF(L205="","",L205/3*100)</f>
        <v/>
      </c>
      <c r="AC205" s="47" t="str">
        <f aca="false">IF(OR(M205="",AND(N205&lt;&gt;"",N(N205)&lt;Parámetros!$B$15)),"",MAX(0,MIN(100,(M205-1)/4*100)))</f>
        <v/>
      </c>
      <c r="AD205" s="47" t="str">
        <f aca="false">IF(OR(P205="",N(Q205)=0),"",MAX(0,MIN(100,((Q205/(Q205+Parámetros!$B$16))*P205+(Parámetros!$B$16/(Q205+Parámetros!$B$16))*Parámetros!$B$17-0.1)/0.4*100)))</f>
        <v/>
      </c>
      <c r="AE205" s="47" t="str">
        <f aca="false">IF(N(R205)&gt;0,MIN(100,S205/R205*100),"")</f>
        <v/>
      </c>
      <c r="AF205" s="47" t="str">
        <f aca="false">IF(N(U205)&gt;0,MIN(100,T205/(U205*5)*100),"")</f>
        <v/>
      </c>
      <c r="AG205" s="47" t="str">
        <f aca="false">IF(OR(V205="",N(W205)&lt;10),"",(V205-1)/4*100)</f>
        <v/>
      </c>
      <c r="AH205" s="47" t="str">
        <f aca="false">IF($C205="","",COUNT(X205:AG205))</f>
        <v/>
      </c>
      <c r="AI205" s="47" t="str">
        <f aca="false">IF(OR($C205="",N(AH205)&lt;Parámetros!$B$18),"",(IF(ISNUMBER(X205),X205*Parámetros!$B$2,0)+IF(ISNUMBER(Y205),Y205*Parámetros!$B$3,0)+IF(ISNUMBER(Z205),Z205*Parámetros!$B$4,0)+IF(ISNUMBER(AA205),AA205*Parámetros!$B$5,0)+IF(ISNUMBER(AB205),AB205*Parámetros!$B$6,0)+IF(ISNUMBER(AC205),AC205*Parámetros!$B$7,0)+IF(ISNUMBER(AD205),AD205*Parámetros!$B$8,0)+IF(ISNUMBER(AE205),AE205*Parámetros!$B$9,0)+IF(ISNUMBER(AF205),AF205*Parámetros!$B$10,0)+IF(ISNUMBER(AG205),AG205*Parámetros!$B$11,0))/(IF(ISNUMBER(X205),Parámetros!$B$2,0)+IF(ISNUMBER(Y205),Parámetros!$B$3,0)+IF(ISNUMBER(Z205),Parámetros!$B$4,0)+IF(ISNUMBER(AA205),Parámetros!$B$5,0)+IF(ISNUMBER(AB205),Parámetros!$B$6,0)+IF(ISNUMBER(AC205),Parámetros!$B$7,0)+IF(ISNUMBER(AD205),Parámetros!$B$8,0)+IF(ISNUMBER(AE205),Parámetros!$B$9,0)+IF(ISNUMBER(AF205),Parámetros!$B$10,0)+IF(ISNUMBER(AG205),Parámetros!$B$11,0)))</f>
        <v/>
      </c>
      <c r="AJ205" s="47" t="n">
        <f aca="false">IF(AND(ISNUMBER(Y205),N(Y205)&lt;60),69.9,IF(OR(AND(ISNUMBER(AE205),N(AE205)&lt;80),AND(ISNUMBER(AC205),N(AC205)&lt;50,N(O205)&gt;=2)),84.9,100))</f>
        <v>100</v>
      </c>
      <c r="AK205" s="47" t="str">
        <f aca="false">IF(AI205="","",MIN(AI205,AJ205))</f>
        <v/>
      </c>
      <c r="AL205" s="47" t="str">
        <f aca="false">IF($C205="","",IF(AK205="","Gris — menos de 3 fuentes",IF(AND(AK205&lt;Parámetros!$B$14,N205&lt;&gt;"",N(N205)&lt;Parámetros!$B$15,N(Y205)&gt;=60),"Gris — repetir observación",IF(AK205&gt;=Parámetros!$B$13,"Verde",IF(AK205&gt;=Parámetros!$B$14,"Amarillo","Rojo")))))</f>
        <v/>
      </c>
      <c r="AM205" s="47" t="str">
        <f aca="false">IF($C205="","",IF(AND(ISNUMBER(Y205),N(Y205)&lt;60),"Ejecución &lt; 60 %: rojo automático",IF(AND(ISNUMBER(AE205),N(AE205)&lt;80),"PIAR &lt; 80 %: máximo amarillo",IF(AND(ISNUMBER(AC205),N(AC205)&lt;50,N(O205)&gt;=2),"Observación &lt; 50: máximo amarillo",IF(AND(N205&lt;&gt;"",N(N205)&lt;Parámetros!$B$15),"κ &lt; 0,60: observación descartada, repetir","")))))</f>
        <v/>
      </c>
    </row>
    <row r="206" customFormat="false" ht="15" hidden="false" customHeight="fals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7" t="str">
        <f aca="false">IF(N(E206)&gt;0,MIN(100,F206/E206*100),"")</f>
        <v/>
      </c>
      <c r="Y206" s="47" t="str">
        <f aca="false">IF(N(G206)&gt;0,MIN(100,H206/G206*100),"")</f>
        <v/>
      </c>
      <c r="Z206" s="47" t="str">
        <f aca="false">IF(N(I206)&gt;0,MIN(100,J206/I206*100),"")</f>
        <v/>
      </c>
      <c r="AA206" s="47" t="str">
        <f aca="false">IF(K206="","",K206/24*100)</f>
        <v/>
      </c>
      <c r="AB206" s="47" t="str">
        <f aca="false">IF(L206="","",L206/3*100)</f>
        <v/>
      </c>
      <c r="AC206" s="47" t="str">
        <f aca="false">IF(OR(M206="",AND(N206&lt;&gt;"",N(N206)&lt;Parámetros!$B$15)),"",MAX(0,MIN(100,(M206-1)/4*100)))</f>
        <v/>
      </c>
      <c r="AD206" s="47" t="str">
        <f aca="false">IF(OR(P206="",N(Q206)=0),"",MAX(0,MIN(100,((Q206/(Q206+Parámetros!$B$16))*P206+(Parámetros!$B$16/(Q206+Parámetros!$B$16))*Parámetros!$B$17-0.1)/0.4*100)))</f>
        <v/>
      </c>
      <c r="AE206" s="47" t="str">
        <f aca="false">IF(N(R206)&gt;0,MIN(100,S206/R206*100),"")</f>
        <v/>
      </c>
      <c r="AF206" s="47" t="str">
        <f aca="false">IF(N(U206)&gt;0,MIN(100,T206/(U206*5)*100),"")</f>
        <v/>
      </c>
      <c r="AG206" s="47" t="str">
        <f aca="false">IF(OR(V206="",N(W206)&lt;10),"",(V206-1)/4*100)</f>
        <v/>
      </c>
      <c r="AH206" s="47" t="str">
        <f aca="false">IF($C206="","",COUNT(X206:AG206))</f>
        <v/>
      </c>
      <c r="AI206" s="47" t="str">
        <f aca="false">IF(OR($C206="",N(AH206)&lt;Parámetros!$B$18),"",(IF(ISNUMBER(X206),X206*Parámetros!$B$2,0)+IF(ISNUMBER(Y206),Y206*Parámetros!$B$3,0)+IF(ISNUMBER(Z206),Z206*Parámetros!$B$4,0)+IF(ISNUMBER(AA206),AA206*Parámetros!$B$5,0)+IF(ISNUMBER(AB206),AB206*Parámetros!$B$6,0)+IF(ISNUMBER(AC206),AC206*Parámetros!$B$7,0)+IF(ISNUMBER(AD206),AD206*Parámetros!$B$8,0)+IF(ISNUMBER(AE206),AE206*Parámetros!$B$9,0)+IF(ISNUMBER(AF206),AF206*Parámetros!$B$10,0)+IF(ISNUMBER(AG206),AG206*Parámetros!$B$11,0))/(IF(ISNUMBER(X206),Parámetros!$B$2,0)+IF(ISNUMBER(Y206),Parámetros!$B$3,0)+IF(ISNUMBER(Z206),Parámetros!$B$4,0)+IF(ISNUMBER(AA206),Parámetros!$B$5,0)+IF(ISNUMBER(AB206),Parámetros!$B$6,0)+IF(ISNUMBER(AC206),Parámetros!$B$7,0)+IF(ISNUMBER(AD206),Parámetros!$B$8,0)+IF(ISNUMBER(AE206),Parámetros!$B$9,0)+IF(ISNUMBER(AF206),Parámetros!$B$10,0)+IF(ISNUMBER(AG206),Parámetros!$B$11,0)))</f>
        <v/>
      </c>
      <c r="AJ206" s="47" t="n">
        <f aca="false">IF(AND(ISNUMBER(Y206),N(Y206)&lt;60),69.9,IF(OR(AND(ISNUMBER(AE206),N(AE206)&lt;80),AND(ISNUMBER(AC206),N(AC206)&lt;50,N(O206)&gt;=2)),84.9,100))</f>
        <v>100</v>
      </c>
      <c r="AK206" s="47" t="str">
        <f aca="false">IF(AI206="","",MIN(AI206,AJ206))</f>
        <v/>
      </c>
      <c r="AL206" s="47" t="str">
        <f aca="false">IF($C206="","",IF(AK206="","Gris — menos de 3 fuentes",IF(AND(AK206&lt;Parámetros!$B$14,N206&lt;&gt;"",N(N206)&lt;Parámetros!$B$15,N(Y206)&gt;=60),"Gris — repetir observación",IF(AK206&gt;=Parámetros!$B$13,"Verde",IF(AK206&gt;=Parámetros!$B$14,"Amarillo","Rojo")))))</f>
        <v/>
      </c>
      <c r="AM206" s="47" t="str">
        <f aca="false">IF($C206="","",IF(AND(ISNUMBER(Y206),N(Y206)&lt;60),"Ejecución &lt; 60 %: rojo automático",IF(AND(ISNUMBER(AE206),N(AE206)&lt;80),"PIAR &lt; 80 %: máximo amarillo",IF(AND(ISNUMBER(AC206),N(AC206)&lt;50,N(O206)&gt;=2),"Observación &lt; 50: máximo amarillo",IF(AND(N206&lt;&gt;"",N(N206)&lt;Parámetros!$B$15),"κ &lt; 0,60: observación descartada, repetir","")))))</f>
        <v/>
      </c>
    </row>
    <row r="207" customFormat="false" ht="15" hidden="false" customHeight="fals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7" t="str">
        <f aca="false">IF(N(E207)&gt;0,MIN(100,F207/E207*100),"")</f>
        <v/>
      </c>
      <c r="Y207" s="47" t="str">
        <f aca="false">IF(N(G207)&gt;0,MIN(100,H207/G207*100),"")</f>
        <v/>
      </c>
      <c r="Z207" s="47" t="str">
        <f aca="false">IF(N(I207)&gt;0,MIN(100,J207/I207*100),"")</f>
        <v/>
      </c>
      <c r="AA207" s="47" t="str">
        <f aca="false">IF(K207="","",K207/24*100)</f>
        <v/>
      </c>
      <c r="AB207" s="47" t="str">
        <f aca="false">IF(L207="","",L207/3*100)</f>
        <v/>
      </c>
      <c r="AC207" s="47" t="str">
        <f aca="false">IF(OR(M207="",AND(N207&lt;&gt;"",N(N207)&lt;Parámetros!$B$15)),"",MAX(0,MIN(100,(M207-1)/4*100)))</f>
        <v/>
      </c>
      <c r="AD207" s="47" t="str">
        <f aca="false">IF(OR(P207="",N(Q207)=0),"",MAX(0,MIN(100,((Q207/(Q207+Parámetros!$B$16))*P207+(Parámetros!$B$16/(Q207+Parámetros!$B$16))*Parámetros!$B$17-0.1)/0.4*100)))</f>
        <v/>
      </c>
      <c r="AE207" s="47" t="str">
        <f aca="false">IF(N(R207)&gt;0,MIN(100,S207/R207*100),"")</f>
        <v/>
      </c>
      <c r="AF207" s="47" t="str">
        <f aca="false">IF(N(U207)&gt;0,MIN(100,T207/(U207*5)*100),"")</f>
        <v/>
      </c>
      <c r="AG207" s="47" t="str">
        <f aca="false">IF(OR(V207="",N(W207)&lt;10),"",(V207-1)/4*100)</f>
        <v/>
      </c>
      <c r="AH207" s="47" t="str">
        <f aca="false">IF($C207="","",COUNT(X207:AG207))</f>
        <v/>
      </c>
      <c r="AI207" s="47" t="str">
        <f aca="false">IF(OR($C207="",N(AH207)&lt;Parámetros!$B$18),"",(IF(ISNUMBER(X207),X207*Parámetros!$B$2,0)+IF(ISNUMBER(Y207),Y207*Parámetros!$B$3,0)+IF(ISNUMBER(Z207),Z207*Parámetros!$B$4,0)+IF(ISNUMBER(AA207),AA207*Parámetros!$B$5,0)+IF(ISNUMBER(AB207),AB207*Parámetros!$B$6,0)+IF(ISNUMBER(AC207),AC207*Parámetros!$B$7,0)+IF(ISNUMBER(AD207),AD207*Parámetros!$B$8,0)+IF(ISNUMBER(AE207),AE207*Parámetros!$B$9,0)+IF(ISNUMBER(AF207),AF207*Parámetros!$B$10,0)+IF(ISNUMBER(AG207),AG207*Parámetros!$B$11,0))/(IF(ISNUMBER(X207),Parámetros!$B$2,0)+IF(ISNUMBER(Y207),Parámetros!$B$3,0)+IF(ISNUMBER(Z207),Parámetros!$B$4,0)+IF(ISNUMBER(AA207),Parámetros!$B$5,0)+IF(ISNUMBER(AB207),Parámetros!$B$6,0)+IF(ISNUMBER(AC207),Parámetros!$B$7,0)+IF(ISNUMBER(AD207),Parámetros!$B$8,0)+IF(ISNUMBER(AE207),Parámetros!$B$9,0)+IF(ISNUMBER(AF207),Parámetros!$B$10,0)+IF(ISNUMBER(AG207),Parámetros!$B$11,0)))</f>
        <v/>
      </c>
      <c r="AJ207" s="47" t="n">
        <f aca="false">IF(AND(ISNUMBER(Y207),N(Y207)&lt;60),69.9,IF(OR(AND(ISNUMBER(AE207),N(AE207)&lt;80),AND(ISNUMBER(AC207),N(AC207)&lt;50,N(O207)&gt;=2)),84.9,100))</f>
        <v>100</v>
      </c>
      <c r="AK207" s="47" t="str">
        <f aca="false">IF(AI207="","",MIN(AI207,AJ207))</f>
        <v/>
      </c>
      <c r="AL207" s="47" t="str">
        <f aca="false">IF($C207="","",IF(AK207="","Gris — menos de 3 fuentes",IF(AND(AK207&lt;Parámetros!$B$14,N207&lt;&gt;"",N(N207)&lt;Parámetros!$B$15,N(Y207)&gt;=60),"Gris — repetir observación",IF(AK207&gt;=Parámetros!$B$13,"Verde",IF(AK207&gt;=Parámetros!$B$14,"Amarillo","Rojo")))))</f>
        <v/>
      </c>
      <c r="AM207" s="47" t="str">
        <f aca="false">IF($C207="","",IF(AND(ISNUMBER(Y207),N(Y207)&lt;60),"Ejecución &lt; 60 %: rojo automático",IF(AND(ISNUMBER(AE207),N(AE207)&lt;80),"PIAR &lt; 80 %: máximo amarillo",IF(AND(ISNUMBER(AC207),N(AC207)&lt;50,N(O207)&gt;=2),"Observación &lt; 50: máximo amarillo",IF(AND(N207&lt;&gt;"",N(N207)&lt;Parámetros!$B$15),"κ &lt; 0,60: observación descartada, repetir","")))))</f>
        <v/>
      </c>
    </row>
    <row r="208" customFormat="false" ht="15" hidden="false" customHeight="fals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7" t="str">
        <f aca="false">IF(N(E208)&gt;0,MIN(100,F208/E208*100),"")</f>
        <v/>
      </c>
      <c r="Y208" s="47" t="str">
        <f aca="false">IF(N(G208)&gt;0,MIN(100,H208/G208*100),"")</f>
        <v/>
      </c>
      <c r="Z208" s="47" t="str">
        <f aca="false">IF(N(I208)&gt;0,MIN(100,J208/I208*100),"")</f>
        <v/>
      </c>
      <c r="AA208" s="47" t="str">
        <f aca="false">IF(K208="","",K208/24*100)</f>
        <v/>
      </c>
      <c r="AB208" s="47" t="str">
        <f aca="false">IF(L208="","",L208/3*100)</f>
        <v/>
      </c>
      <c r="AC208" s="47" t="str">
        <f aca="false">IF(OR(M208="",AND(N208&lt;&gt;"",N(N208)&lt;Parámetros!$B$15)),"",MAX(0,MIN(100,(M208-1)/4*100)))</f>
        <v/>
      </c>
      <c r="AD208" s="47" t="str">
        <f aca="false">IF(OR(P208="",N(Q208)=0),"",MAX(0,MIN(100,((Q208/(Q208+Parámetros!$B$16))*P208+(Parámetros!$B$16/(Q208+Parámetros!$B$16))*Parámetros!$B$17-0.1)/0.4*100)))</f>
        <v/>
      </c>
      <c r="AE208" s="47" t="str">
        <f aca="false">IF(N(R208)&gt;0,MIN(100,S208/R208*100),"")</f>
        <v/>
      </c>
      <c r="AF208" s="47" t="str">
        <f aca="false">IF(N(U208)&gt;0,MIN(100,T208/(U208*5)*100),"")</f>
        <v/>
      </c>
      <c r="AG208" s="47" t="str">
        <f aca="false">IF(OR(V208="",N(W208)&lt;10),"",(V208-1)/4*100)</f>
        <v/>
      </c>
      <c r="AH208" s="47" t="str">
        <f aca="false">IF($C208="","",COUNT(X208:AG208))</f>
        <v/>
      </c>
      <c r="AI208" s="47" t="str">
        <f aca="false">IF(OR($C208="",N(AH208)&lt;Parámetros!$B$18),"",(IF(ISNUMBER(X208),X208*Parámetros!$B$2,0)+IF(ISNUMBER(Y208),Y208*Parámetros!$B$3,0)+IF(ISNUMBER(Z208),Z208*Parámetros!$B$4,0)+IF(ISNUMBER(AA208),AA208*Parámetros!$B$5,0)+IF(ISNUMBER(AB208),AB208*Parámetros!$B$6,0)+IF(ISNUMBER(AC208),AC208*Parámetros!$B$7,0)+IF(ISNUMBER(AD208),AD208*Parámetros!$B$8,0)+IF(ISNUMBER(AE208),AE208*Parámetros!$B$9,0)+IF(ISNUMBER(AF208),AF208*Parámetros!$B$10,0)+IF(ISNUMBER(AG208),AG208*Parámetros!$B$11,0))/(IF(ISNUMBER(X208),Parámetros!$B$2,0)+IF(ISNUMBER(Y208),Parámetros!$B$3,0)+IF(ISNUMBER(Z208),Parámetros!$B$4,0)+IF(ISNUMBER(AA208),Parámetros!$B$5,0)+IF(ISNUMBER(AB208),Parámetros!$B$6,0)+IF(ISNUMBER(AC208),Parámetros!$B$7,0)+IF(ISNUMBER(AD208),Parámetros!$B$8,0)+IF(ISNUMBER(AE208),Parámetros!$B$9,0)+IF(ISNUMBER(AF208),Parámetros!$B$10,0)+IF(ISNUMBER(AG208),Parámetros!$B$11,0)))</f>
        <v/>
      </c>
      <c r="AJ208" s="47" t="n">
        <f aca="false">IF(AND(ISNUMBER(Y208),N(Y208)&lt;60),69.9,IF(OR(AND(ISNUMBER(AE208),N(AE208)&lt;80),AND(ISNUMBER(AC208),N(AC208)&lt;50,N(O208)&gt;=2)),84.9,100))</f>
        <v>100</v>
      </c>
      <c r="AK208" s="47" t="str">
        <f aca="false">IF(AI208="","",MIN(AI208,AJ208))</f>
        <v/>
      </c>
      <c r="AL208" s="47" t="str">
        <f aca="false">IF($C208="","",IF(AK208="","Gris — menos de 3 fuentes",IF(AND(AK208&lt;Parámetros!$B$14,N208&lt;&gt;"",N(N208)&lt;Parámetros!$B$15,N(Y208)&gt;=60),"Gris — repetir observación",IF(AK208&gt;=Parámetros!$B$13,"Verde",IF(AK208&gt;=Parámetros!$B$14,"Amarillo","Rojo")))))</f>
        <v/>
      </c>
      <c r="AM208" s="47" t="str">
        <f aca="false">IF($C208="","",IF(AND(ISNUMBER(Y208),N(Y208)&lt;60),"Ejecución &lt; 60 %: rojo automático",IF(AND(ISNUMBER(AE208),N(AE208)&lt;80),"PIAR &lt; 80 %: máximo amarillo",IF(AND(ISNUMBER(AC208),N(AC208)&lt;50,N(O208)&gt;=2),"Observación &lt; 50: máximo amarillo",IF(AND(N208&lt;&gt;"",N(N208)&lt;Parámetros!$B$15),"κ &lt; 0,60: observación descartada, repetir","")))))</f>
        <v/>
      </c>
    </row>
    <row r="209" customFormat="false" ht="15" hidden="false" customHeight="fals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7" t="str">
        <f aca="false">IF(N(E209)&gt;0,MIN(100,F209/E209*100),"")</f>
        <v/>
      </c>
      <c r="Y209" s="47" t="str">
        <f aca="false">IF(N(G209)&gt;0,MIN(100,H209/G209*100),"")</f>
        <v/>
      </c>
      <c r="Z209" s="47" t="str">
        <f aca="false">IF(N(I209)&gt;0,MIN(100,J209/I209*100),"")</f>
        <v/>
      </c>
      <c r="AA209" s="47" t="str">
        <f aca="false">IF(K209="","",K209/24*100)</f>
        <v/>
      </c>
      <c r="AB209" s="47" t="str">
        <f aca="false">IF(L209="","",L209/3*100)</f>
        <v/>
      </c>
      <c r="AC209" s="47" t="str">
        <f aca="false">IF(OR(M209="",AND(N209&lt;&gt;"",N(N209)&lt;Parámetros!$B$15)),"",MAX(0,MIN(100,(M209-1)/4*100)))</f>
        <v/>
      </c>
      <c r="AD209" s="47" t="str">
        <f aca="false">IF(OR(P209="",N(Q209)=0),"",MAX(0,MIN(100,((Q209/(Q209+Parámetros!$B$16))*P209+(Parámetros!$B$16/(Q209+Parámetros!$B$16))*Parámetros!$B$17-0.1)/0.4*100)))</f>
        <v/>
      </c>
      <c r="AE209" s="47" t="str">
        <f aca="false">IF(N(R209)&gt;0,MIN(100,S209/R209*100),"")</f>
        <v/>
      </c>
      <c r="AF209" s="47" t="str">
        <f aca="false">IF(N(U209)&gt;0,MIN(100,T209/(U209*5)*100),"")</f>
        <v/>
      </c>
      <c r="AG209" s="47" t="str">
        <f aca="false">IF(OR(V209="",N(W209)&lt;10),"",(V209-1)/4*100)</f>
        <v/>
      </c>
      <c r="AH209" s="47" t="str">
        <f aca="false">IF($C209="","",COUNT(X209:AG209))</f>
        <v/>
      </c>
      <c r="AI209" s="47" t="str">
        <f aca="false">IF(OR($C209="",N(AH209)&lt;Parámetros!$B$18),"",(IF(ISNUMBER(X209),X209*Parámetros!$B$2,0)+IF(ISNUMBER(Y209),Y209*Parámetros!$B$3,0)+IF(ISNUMBER(Z209),Z209*Parámetros!$B$4,0)+IF(ISNUMBER(AA209),AA209*Parámetros!$B$5,0)+IF(ISNUMBER(AB209),AB209*Parámetros!$B$6,0)+IF(ISNUMBER(AC209),AC209*Parámetros!$B$7,0)+IF(ISNUMBER(AD209),AD209*Parámetros!$B$8,0)+IF(ISNUMBER(AE209),AE209*Parámetros!$B$9,0)+IF(ISNUMBER(AF209),AF209*Parámetros!$B$10,0)+IF(ISNUMBER(AG209),AG209*Parámetros!$B$11,0))/(IF(ISNUMBER(X209),Parámetros!$B$2,0)+IF(ISNUMBER(Y209),Parámetros!$B$3,0)+IF(ISNUMBER(Z209),Parámetros!$B$4,0)+IF(ISNUMBER(AA209),Parámetros!$B$5,0)+IF(ISNUMBER(AB209),Parámetros!$B$6,0)+IF(ISNUMBER(AC209),Parámetros!$B$7,0)+IF(ISNUMBER(AD209),Parámetros!$B$8,0)+IF(ISNUMBER(AE209),Parámetros!$B$9,0)+IF(ISNUMBER(AF209),Parámetros!$B$10,0)+IF(ISNUMBER(AG209),Parámetros!$B$11,0)))</f>
        <v/>
      </c>
      <c r="AJ209" s="47" t="n">
        <f aca="false">IF(AND(ISNUMBER(Y209),N(Y209)&lt;60),69.9,IF(OR(AND(ISNUMBER(AE209),N(AE209)&lt;80),AND(ISNUMBER(AC209),N(AC209)&lt;50,N(O209)&gt;=2)),84.9,100))</f>
        <v>100</v>
      </c>
      <c r="AK209" s="47" t="str">
        <f aca="false">IF(AI209="","",MIN(AI209,AJ209))</f>
        <v/>
      </c>
      <c r="AL209" s="47" t="str">
        <f aca="false">IF($C209="","",IF(AK209="","Gris — menos de 3 fuentes",IF(AND(AK209&lt;Parámetros!$B$14,N209&lt;&gt;"",N(N209)&lt;Parámetros!$B$15,N(Y209)&gt;=60),"Gris — repetir observación",IF(AK209&gt;=Parámetros!$B$13,"Verde",IF(AK209&gt;=Parámetros!$B$14,"Amarillo","Rojo")))))</f>
        <v/>
      </c>
      <c r="AM209" s="47" t="str">
        <f aca="false">IF($C209="","",IF(AND(ISNUMBER(Y209),N(Y209)&lt;60),"Ejecución &lt; 60 %: rojo automático",IF(AND(ISNUMBER(AE209),N(AE209)&lt;80),"PIAR &lt; 80 %: máximo amarillo",IF(AND(ISNUMBER(AC209),N(AC209)&lt;50,N(O209)&gt;=2),"Observación &lt; 50: máximo amarillo",IF(AND(N209&lt;&gt;"",N(N209)&lt;Parámetros!$B$15),"κ &lt; 0,60: observación descartada, repetir","")))))</f>
        <v/>
      </c>
    </row>
    <row r="210" customFormat="false" ht="15" hidden="false" customHeight="fals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7" t="str">
        <f aca="false">IF(N(E210)&gt;0,MIN(100,F210/E210*100),"")</f>
        <v/>
      </c>
      <c r="Y210" s="47" t="str">
        <f aca="false">IF(N(G210)&gt;0,MIN(100,H210/G210*100),"")</f>
        <v/>
      </c>
      <c r="Z210" s="47" t="str">
        <f aca="false">IF(N(I210)&gt;0,MIN(100,J210/I210*100),"")</f>
        <v/>
      </c>
      <c r="AA210" s="47" t="str">
        <f aca="false">IF(K210="","",K210/24*100)</f>
        <v/>
      </c>
      <c r="AB210" s="47" t="str">
        <f aca="false">IF(L210="","",L210/3*100)</f>
        <v/>
      </c>
      <c r="AC210" s="47" t="str">
        <f aca="false">IF(OR(M210="",AND(N210&lt;&gt;"",N(N210)&lt;Parámetros!$B$15)),"",MAX(0,MIN(100,(M210-1)/4*100)))</f>
        <v/>
      </c>
      <c r="AD210" s="47" t="str">
        <f aca="false">IF(OR(P210="",N(Q210)=0),"",MAX(0,MIN(100,((Q210/(Q210+Parámetros!$B$16))*P210+(Parámetros!$B$16/(Q210+Parámetros!$B$16))*Parámetros!$B$17-0.1)/0.4*100)))</f>
        <v/>
      </c>
      <c r="AE210" s="47" t="str">
        <f aca="false">IF(N(R210)&gt;0,MIN(100,S210/R210*100),"")</f>
        <v/>
      </c>
      <c r="AF210" s="47" t="str">
        <f aca="false">IF(N(U210)&gt;0,MIN(100,T210/(U210*5)*100),"")</f>
        <v/>
      </c>
      <c r="AG210" s="47" t="str">
        <f aca="false">IF(OR(V210="",N(W210)&lt;10),"",(V210-1)/4*100)</f>
        <v/>
      </c>
      <c r="AH210" s="47" t="str">
        <f aca="false">IF($C210="","",COUNT(X210:AG210))</f>
        <v/>
      </c>
      <c r="AI210" s="47" t="str">
        <f aca="false">IF(OR($C210="",N(AH210)&lt;Parámetros!$B$18),"",(IF(ISNUMBER(X210),X210*Parámetros!$B$2,0)+IF(ISNUMBER(Y210),Y210*Parámetros!$B$3,0)+IF(ISNUMBER(Z210),Z210*Parámetros!$B$4,0)+IF(ISNUMBER(AA210),AA210*Parámetros!$B$5,0)+IF(ISNUMBER(AB210),AB210*Parámetros!$B$6,0)+IF(ISNUMBER(AC210),AC210*Parámetros!$B$7,0)+IF(ISNUMBER(AD210),AD210*Parámetros!$B$8,0)+IF(ISNUMBER(AE210),AE210*Parámetros!$B$9,0)+IF(ISNUMBER(AF210),AF210*Parámetros!$B$10,0)+IF(ISNUMBER(AG210),AG210*Parámetros!$B$11,0))/(IF(ISNUMBER(X210),Parámetros!$B$2,0)+IF(ISNUMBER(Y210),Parámetros!$B$3,0)+IF(ISNUMBER(Z210),Parámetros!$B$4,0)+IF(ISNUMBER(AA210),Parámetros!$B$5,0)+IF(ISNUMBER(AB210),Parámetros!$B$6,0)+IF(ISNUMBER(AC210),Parámetros!$B$7,0)+IF(ISNUMBER(AD210),Parámetros!$B$8,0)+IF(ISNUMBER(AE210),Parámetros!$B$9,0)+IF(ISNUMBER(AF210),Parámetros!$B$10,0)+IF(ISNUMBER(AG210),Parámetros!$B$11,0)))</f>
        <v/>
      </c>
      <c r="AJ210" s="47" t="n">
        <f aca="false">IF(AND(ISNUMBER(Y210),N(Y210)&lt;60),69.9,IF(OR(AND(ISNUMBER(AE210),N(AE210)&lt;80),AND(ISNUMBER(AC210),N(AC210)&lt;50,N(O210)&gt;=2)),84.9,100))</f>
        <v>100</v>
      </c>
      <c r="AK210" s="47" t="str">
        <f aca="false">IF(AI210="","",MIN(AI210,AJ210))</f>
        <v/>
      </c>
      <c r="AL210" s="47" t="str">
        <f aca="false">IF($C210="","",IF(AK210="","Gris — menos de 3 fuentes",IF(AND(AK210&lt;Parámetros!$B$14,N210&lt;&gt;"",N(N210)&lt;Parámetros!$B$15,N(Y210)&gt;=60),"Gris — repetir observación",IF(AK210&gt;=Parámetros!$B$13,"Verde",IF(AK210&gt;=Parámetros!$B$14,"Amarillo","Rojo")))))</f>
        <v/>
      </c>
      <c r="AM210" s="47" t="str">
        <f aca="false">IF($C210="","",IF(AND(ISNUMBER(Y210),N(Y210)&lt;60),"Ejecución &lt; 60 %: rojo automático",IF(AND(ISNUMBER(AE210),N(AE210)&lt;80),"PIAR &lt; 80 %: máximo amarillo",IF(AND(ISNUMBER(AC210),N(AC210)&lt;50,N(O210)&gt;=2),"Observación &lt; 50: máximo amarillo",IF(AND(N210&lt;&gt;"",N(N210)&lt;Parámetros!$B$15),"κ &lt; 0,60: observación descartada, repetir","")))))</f>
        <v/>
      </c>
    </row>
    <row r="211" customFormat="false" ht="15" hidden="false" customHeight="fals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7" t="str">
        <f aca="false">IF(N(E211)&gt;0,MIN(100,F211/E211*100),"")</f>
        <v/>
      </c>
      <c r="Y211" s="47" t="str">
        <f aca="false">IF(N(G211)&gt;0,MIN(100,H211/G211*100),"")</f>
        <v/>
      </c>
      <c r="Z211" s="47" t="str">
        <f aca="false">IF(N(I211)&gt;0,MIN(100,J211/I211*100),"")</f>
        <v/>
      </c>
      <c r="AA211" s="47" t="str">
        <f aca="false">IF(K211="","",K211/24*100)</f>
        <v/>
      </c>
      <c r="AB211" s="47" t="str">
        <f aca="false">IF(L211="","",L211/3*100)</f>
        <v/>
      </c>
      <c r="AC211" s="47" t="str">
        <f aca="false">IF(OR(M211="",AND(N211&lt;&gt;"",N(N211)&lt;Parámetros!$B$15)),"",MAX(0,MIN(100,(M211-1)/4*100)))</f>
        <v/>
      </c>
      <c r="AD211" s="47" t="str">
        <f aca="false">IF(OR(P211="",N(Q211)=0),"",MAX(0,MIN(100,((Q211/(Q211+Parámetros!$B$16))*P211+(Parámetros!$B$16/(Q211+Parámetros!$B$16))*Parámetros!$B$17-0.1)/0.4*100)))</f>
        <v/>
      </c>
      <c r="AE211" s="47" t="str">
        <f aca="false">IF(N(R211)&gt;0,MIN(100,S211/R211*100),"")</f>
        <v/>
      </c>
      <c r="AF211" s="47" t="str">
        <f aca="false">IF(N(U211)&gt;0,MIN(100,T211/(U211*5)*100),"")</f>
        <v/>
      </c>
      <c r="AG211" s="47" t="str">
        <f aca="false">IF(OR(V211="",N(W211)&lt;10),"",(V211-1)/4*100)</f>
        <v/>
      </c>
      <c r="AH211" s="47" t="str">
        <f aca="false">IF($C211="","",COUNT(X211:AG211))</f>
        <v/>
      </c>
      <c r="AI211" s="47" t="str">
        <f aca="false">IF(OR($C211="",N(AH211)&lt;Parámetros!$B$18),"",(IF(ISNUMBER(X211),X211*Parámetros!$B$2,0)+IF(ISNUMBER(Y211),Y211*Parámetros!$B$3,0)+IF(ISNUMBER(Z211),Z211*Parámetros!$B$4,0)+IF(ISNUMBER(AA211),AA211*Parámetros!$B$5,0)+IF(ISNUMBER(AB211),AB211*Parámetros!$B$6,0)+IF(ISNUMBER(AC211),AC211*Parámetros!$B$7,0)+IF(ISNUMBER(AD211),AD211*Parámetros!$B$8,0)+IF(ISNUMBER(AE211),AE211*Parámetros!$B$9,0)+IF(ISNUMBER(AF211),AF211*Parámetros!$B$10,0)+IF(ISNUMBER(AG211),AG211*Parámetros!$B$11,0))/(IF(ISNUMBER(X211),Parámetros!$B$2,0)+IF(ISNUMBER(Y211),Parámetros!$B$3,0)+IF(ISNUMBER(Z211),Parámetros!$B$4,0)+IF(ISNUMBER(AA211),Parámetros!$B$5,0)+IF(ISNUMBER(AB211),Parámetros!$B$6,0)+IF(ISNUMBER(AC211),Parámetros!$B$7,0)+IF(ISNUMBER(AD211),Parámetros!$B$8,0)+IF(ISNUMBER(AE211),Parámetros!$B$9,0)+IF(ISNUMBER(AF211),Parámetros!$B$10,0)+IF(ISNUMBER(AG211),Parámetros!$B$11,0)))</f>
        <v/>
      </c>
      <c r="AJ211" s="47" t="n">
        <f aca="false">IF(AND(ISNUMBER(Y211),N(Y211)&lt;60),69.9,IF(OR(AND(ISNUMBER(AE211),N(AE211)&lt;80),AND(ISNUMBER(AC211),N(AC211)&lt;50,N(O211)&gt;=2)),84.9,100))</f>
        <v>100</v>
      </c>
      <c r="AK211" s="47" t="str">
        <f aca="false">IF(AI211="","",MIN(AI211,AJ211))</f>
        <v/>
      </c>
      <c r="AL211" s="47" t="str">
        <f aca="false">IF($C211="","",IF(AK211="","Gris — menos de 3 fuentes",IF(AND(AK211&lt;Parámetros!$B$14,N211&lt;&gt;"",N(N211)&lt;Parámetros!$B$15,N(Y211)&gt;=60),"Gris — repetir observación",IF(AK211&gt;=Parámetros!$B$13,"Verde",IF(AK211&gt;=Parámetros!$B$14,"Amarillo","Rojo")))))</f>
        <v/>
      </c>
      <c r="AM211" s="47" t="str">
        <f aca="false">IF($C211="","",IF(AND(ISNUMBER(Y211),N(Y211)&lt;60),"Ejecución &lt; 60 %: rojo automático",IF(AND(ISNUMBER(AE211),N(AE211)&lt;80),"PIAR &lt; 80 %: máximo amarillo",IF(AND(ISNUMBER(AC211),N(AC211)&lt;50,N(O211)&gt;=2),"Observación &lt; 50: máximo amarillo",IF(AND(N211&lt;&gt;"",N(N211)&lt;Parámetros!$B$15),"κ &lt; 0,60: observación descartada, repetir","")))))</f>
        <v/>
      </c>
    </row>
    <row r="212" customFormat="false" ht="15" hidden="false" customHeight="fals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7" t="str">
        <f aca="false">IF(N(E212)&gt;0,MIN(100,F212/E212*100),"")</f>
        <v/>
      </c>
      <c r="Y212" s="47" t="str">
        <f aca="false">IF(N(G212)&gt;0,MIN(100,H212/G212*100),"")</f>
        <v/>
      </c>
      <c r="Z212" s="47" t="str">
        <f aca="false">IF(N(I212)&gt;0,MIN(100,J212/I212*100),"")</f>
        <v/>
      </c>
      <c r="AA212" s="47" t="str">
        <f aca="false">IF(K212="","",K212/24*100)</f>
        <v/>
      </c>
      <c r="AB212" s="47" t="str">
        <f aca="false">IF(L212="","",L212/3*100)</f>
        <v/>
      </c>
      <c r="AC212" s="47" t="str">
        <f aca="false">IF(OR(M212="",AND(N212&lt;&gt;"",N(N212)&lt;Parámetros!$B$15)),"",MAX(0,MIN(100,(M212-1)/4*100)))</f>
        <v/>
      </c>
      <c r="AD212" s="47" t="str">
        <f aca="false">IF(OR(P212="",N(Q212)=0),"",MAX(0,MIN(100,((Q212/(Q212+Parámetros!$B$16))*P212+(Parámetros!$B$16/(Q212+Parámetros!$B$16))*Parámetros!$B$17-0.1)/0.4*100)))</f>
        <v/>
      </c>
      <c r="AE212" s="47" t="str">
        <f aca="false">IF(N(R212)&gt;0,MIN(100,S212/R212*100),"")</f>
        <v/>
      </c>
      <c r="AF212" s="47" t="str">
        <f aca="false">IF(N(U212)&gt;0,MIN(100,T212/(U212*5)*100),"")</f>
        <v/>
      </c>
      <c r="AG212" s="47" t="str">
        <f aca="false">IF(OR(V212="",N(W212)&lt;10),"",(V212-1)/4*100)</f>
        <v/>
      </c>
      <c r="AH212" s="47" t="str">
        <f aca="false">IF($C212="","",COUNT(X212:AG212))</f>
        <v/>
      </c>
      <c r="AI212" s="47" t="str">
        <f aca="false">IF(OR($C212="",N(AH212)&lt;Parámetros!$B$18),"",(IF(ISNUMBER(X212),X212*Parámetros!$B$2,0)+IF(ISNUMBER(Y212),Y212*Parámetros!$B$3,0)+IF(ISNUMBER(Z212),Z212*Parámetros!$B$4,0)+IF(ISNUMBER(AA212),AA212*Parámetros!$B$5,0)+IF(ISNUMBER(AB212),AB212*Parámetros!$B$6,0)+IF(ISNUMBER(AC212),AC212*Parámetros!$B$7,0)+IF(ISNUMBER(AD212),AD212*Parámetros!$B$8,0)+IF(ISNUMBER(AE212),AE212*Parámetros!$B$9,0)+IF(ISNUMBER(AF212),AF212*Parámetros!$B$10,0)+IF(ISNUMBER(AG212),AG212*Parámetros!$B$11,0))/(IF(ISNUMBER(X212),Parámetros!$B$2,0)+IF(ISNUMBER(Y212),Parámetros!$B$3,0)+IF(ISNUMBER(Z212),Parámetros!$B$4,0)+IF(ISNUMBER(AA212),Parámetros!$B$5,0)+IF(ISNUMBER(AB212),Parámetros!$B$6,0)+IF(ISNUMBER(AC212),Parámetros!$B$7,0)+IF(ISNUMBER(AD212),Parámetros!$B$8,0)+IF(ISNUMBER(AE212),Parámetros!$B$9,0)+IF(ISNUMBER(AF212),Parámetros!$B$10,0)+IF(ISNUMBER(AG212),Parámetros!$B$11,0)))</f>
        <v/>
      </c>
      <c r="AJ212" s="47" t="n">
        <f aca="false">IF(AND(ISNUMBER(Y212),N(Y212)&lt;60),69.9,IF(OR(AND(ISNUMBER(AE212),N(AE212)&lt;80),AND(ISNUMBER(AC212),N(AC212)&lt;50,N(O212)&gt;=2)),84.9,100))</f>
        <v>100</v>
      </c>
      <c r="AK212" s="47" t="str">
        <f aca="false">IF(AI212="","",MIN(AI212,AJ212))</f>
        <v/>
      </c>
      <c r="AL212" s="47" t="str">
        <f aca="false">IF($C212="","",IF(AK212="","Gris — menos de 3 fuentes",IF(AND(AK212&lt;Parámetros!$B$14,N212&lt;&gt;"",N(N212)&lt;Parámetros!$B$15,N(Y212)&gt;=60),"Gris — repetir observación",IF(AK212&gt;=Parámetros!$B$13,"Verde",IF(AK212&gt;=Parámetros!$B$14,"Amarillo","Rojo")))))</f>
        <v/>
      </c>
      <c r="AM212" s="47" t="str">
        <f aca="false">IF($C212="","",IF(AND(ISNUMBER(Y212),N(Y212)&lt;60),"Ejecución &lt; 60 %: rojo automático",IF(AND(ISNUMBER(AE212),N(AE212)&lt;80),"PIAR &lt; 80 %: máximo amarillo",IF(AND(ISNUMBER(AC212),N(AC212)&lt;50,N(O212)&gt;=2),"Observación &lt; 50: máximo amarillo",IF(AND(N212&lt;&gt;"",N(N212)&lt;Parámetros!$B$15),"κ &lt; 0,60: observación descartada, repetir","")))))</f>
        <v/>
      </c>
    </row>
    <row r="213" customFormat="false" ht="15" hidden="false" customHeight="fals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7" t="str">
        <f aca="false">IF(N(E213)&gt;0,MIN(100,F213/E213*100),"")</f>
        <v/>
      </c>
      <c r="Y213" s="47" t="str">
        <f aca="false">IF(N(G213)&gt;0,MIN(100,H213/G213*100),"")</f>
        <v/>
      </c>
      <c r="Z213" s="47" t="str">
        <f aca="false">IF(N(I213)&gt;0,MIN(100,J213/I213*100),"")</f>
        <v/>
      </c>
      <c r="AA213" s="47" t="str">
        <f aca="false">IF(K213="","",K213/24*100)</f>
        <v/>
      </c>
      <c r="AB213" s="47" t="str">
        <f aca="false">IF(L213="","",L213/3*100)</f>
        <v/>
      </c>
      <c r="AC213" s="47" t="str">
        <f aca="false">IF(OR(M213="",AND(N213&lt;&gt;"",N(N213)&lt;Parámetros!$B$15)),"",MAX(0,MIN(100,(M213-1)/4*100)))</f>
        <v/>
      </c>
      <c r="AD213" s="47" t="str">
        <f aca="false">IF(OR(P213="",N(Q213)=0),"",MAX(0,MIN(100,((Q213/(Q213+Parámetros!$B$16))*P213+(Parámetros!$B$16/(Q213+Parámetros!$B$16))*Parámetros!$B$17-0.1)/0.4*100)))</f>
        <v/>
      </c>
      <c r="AE213" s="47" t="str">
        <f aca="false">IF(N(R213)&gt;0,MIN(100,S213/R213*100),"")</f>
        <v/>
      </c>
      <c r="AF213" s="47" t="str">
        <f aca="false">IF(N(U213)&gt;0,MIN(100,T213/(U213*5)*100),"")</f>
        <v/>
      </c>
      <c r="AG213" s="47" t="str">
        <f aca="false">IF(OR(V213="",N(W213)&lt;10),"",(V213-1)/4*100)</f>
        <v/>
      </c>
      <c r="AH213" s="47" t="str">
        <f aca="false">IF($C213="","",COUNT(X213:AG213))</f>
        <v/>
      </c>
      <c r="AI213" s="47" t="str">
        <f aca="false">IF(OR($C213="",N(AH213)&lt;Parámetros!$B$18),"",(IF(ISNUMBER(X213),X213*Parámetros!$B$2,0)+IF(ISNUMBER(Y213),Y213*Parámetros!$B$3,0)+IF(ISNUMBER(Z213),Z213*Parámetros!$B$4,0)+IF(ISNUMBER(AA213),AA213*Parámetros!$B$5,0)+IF(ISNUMBER(AB213),AB213*Parámetros!$B$6,0)+IF(ISNUMBER(AC213),AC213*Parámetros!$B$7,0)+IF(ISNUMBER(AD213),AD213*Parámetros!$B$8,0)+IF(ISNUMBER(AE213),AE213*Parámetros!$B$9,0)+IF(ISNUMBER(AF213),AF213*Parámetros!$B$10,0)+IF(ISNUMBER(AG213),AG213*Parámetros!$B$11,0))/(IF(ISNUMBER(X213),Parámetros!$B$2,0)+IF(ISNUMBER(Y213),Parámetros!$B$3,0)+IF(ISNUMBER(Z213),Parámetros!$B$4,0)+IF(ISNUMBER(AA213),Parámetros!$B$5,0)+IF(ISNUMBER(AB213),Parámetros!$B$6,0)+IF(ISNUMBER(AC213),Parámetros!$B$7,0)+IF(ISNUMBER(AD213),Parámetros!$B$8,0)+IF(ISNUMBER(AE213),Parámetros!$B$9,0)+IF(ISNUMBER(AF213),Parámetros!$B$10,0)+IF(ISNUMBER(AG213),Parámetros!$B$11,0)))</f>
        <v/>
      </c>
      <c r="AJ213" s="47" t="n">
        <f aca="false">IF(AND(ISNUMBER(Y213),N(Y213)&lt;60),69.9,IF(OR(AND(ISNUMBER(AE213),N(AE213)&lt;80),AND(ISNUMBER(AC213),N(AC213)&lt;50,N(O213)&gt;=2)),84.9,100))</f>
        <v>100</v>
      </c>
      <c r="AK213" s="47" t="str">
        <f aca="false">IF(AI213="","",MIN(AI213,AJ213))</f>
        <v/>
      </c>
      <c r="AL213" s="47" t="str">
        <f aca="false">IF($C213="","",IF(AK213="","Gris — menos de 3 fuentes",IF(AND(AK213&lt;Parámetros!$B$14,N213&lt;&gt;"",N(N213)&lt;Parámetros!$B$15,N(Y213)&gt;=60),"Gris — repetir observación",IF(AK213&gt;=Parámetros!$B$13,"Verde",IF(AK213&gt;=Parámetros!$B$14,"Amarillo","Rojo")))))</f>
        <v/>
      </c>
      <c r="AM213" s="47" t="str">
        <f aca="false">IF($C213="","",IF(AND(ISNUMBER(Y213),N(Y213)&lt;60),"Ejecución &lt; 60 %: rojo automático",IF(AND(ISNUMBER(AE213),N(AE213)&lt;80),"PIAR &lt; 80 %: máximo amarillo",IF(AND(ISNUMBER(AC213),N(AC213)&lt;50,N(O213)&gt;=2),"Observación &lt; 50: máximo amarillo",IF(AND(N213&lt;&gt;"",N(N213)&lt;Parámetros!$B$15),"κ &lt; 0,60: observación descartada, repetir","")))))</f>
        <v/>
      </c>
    </row>
    <row r="214" customFormat="false" ht="15" hidden="false" customHeight="fals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7" t="str">
        <f aca="false">IF(N(E214)&gt;0,MIN(100,F214/E214*100),"")</f>
        <v/>
      </c>
      <c r="Y214" s="47" t="str">
        <f aca="false">IF(N(G214)&gt;0,MIN(100,H214/G214*100),"")</f>
        <v/>
      </c>
      <c r="Z214" s="47" t="str">
        <f aca="false">IF(N(I214)&gt;0,MIN(100,J214/I214*100),"")</f>
        <v/>
      </c>
      <c r="AA214" s="47" t="str">
        <f aca="false">IF(K214="","",K214/24*100)</f>
        <v/>
      </c>
      <c r="AB214" s="47" t="str">
        <f aca="false">IF(L214="","",L214/3*100)</f>
        <v/>
      </c>
      <c r="AC214" s="47" t="str">
        <f aca="false">IF(OR(M214="",AND(N214&lt;&gt;"",N(N214)&lt;Parámetros!$B$15)),"",MAX(0,MIN(100,(M214-1)/4*100)))</f>
        <v/>
      </c>
      <c r="AD214" s="47" t="str">
        <f aca="false">IF(OR(P214="",N(Q214)=0),"",MAX(0,MIN(100,((Q214/(Q214+Parámetros!$B$16))*P214+(Parámetros!$B$16/(Q214+Parámetros!$B$16))*Parámetros!$B$17-0.1)/0.4*100)))</f>
        <v/>
      </c>
      <c r="AE214" s="47" t="str">
        <f aca="false">IF(N(R214)&gt;0,MIN(100,S214/R214*100),"")</f>
        <v/>
      </c>
      <c r="AF214" s="47" t="str">
        <f aca="false">IF(N(U214)&gt;0,MIN(100,T214/(U214*5)*100),"")</f>
        <v/>
      </c>
      <c r="AG214" s="47" t="str">
        <f aca="false">IF(OR(V214="",N(W214)&lt;10),"",(V214-1)/4*100)</f>
        <v/>
      </c>
      <c r="AH214" s="47" t="str">
        <f aca="false">IF($C214="","",COUNT(X214:AG214))</f>
        <v/>
      </c>
      <c r="AI214" s="47" t="str">
        <f aca="false">IF(OR($C214="",N(AH214)&lt;Parámetros!$B$18),"",(IF(ISNUMBER(X214),X214*Parámetros!$B$2,0)+IF(ISNUMBER(Y214),Y214*Parámetros!$B$3,0)+IF(ISNUMBER(Z214),Z214*Parámetros!$B$4,0)+IF(ISNUMBER(AA214),AA214*Parámetros!$B$5,0)+IF(ISNUMBER(AB214),AB214*Parámetros!$B$6,0)+IF(ISNUMBER(AC214),AC214*Parámetros!$B$7,0)+IF(ISNUMBER(AD214),AD214*Parámetros!$B$8,0)+IF(ISNUMBER(AE214),AE214*Parámetros!$B$9,0)+IF(ISNUMBER(AF214),AF214*Parámetros!$B$10,0)+IF(ISNUMBER(AG214),AG214*Parámetros!$B$11,0))/(IF(ISNUMBER(X214),Parámetros!$B$2,0)+IF(ISNUMBER(Y214),Parámetros!$B$3,0)+IF(ISNUMBER(Z214),Parámetros!$B$4,0)+IF(ISNUMBER(AA214),Parámetros!$B$5,0)+IF(ISNUMBER(AB214),Parámetros!$B$6,0)+IF(ISNUMBER(AC214),Parámetros!$B$7,0)+IF(ISNUMBER(AD214),Parámetros!$B$8,0)+IF(ISNUMBER(AE214),Parámetros!$B$9,0)+IF(ISNUMBER(AF214),Parámetros!$B$10,0)+IF(ISNUMBER(AG214),Parámetros!$B$11,0)))</f>
        <v/>
      </c>
      <c r="AJ214" s="47" t="n">
        <f aca="false">IF(AND(ISNUMBER(Y214),N(Y214)&lt;60),69.9,IF(OR(AND(ISNUMBER(AE214),N(AE214)&lt;80),AND(ISNUMBER(AC214),N(AC214)&lt;50,N(O214)&gt;=2)),84.9,100))</f>
        <v>100</v>
      </c>
      <c r="AK214" s="47" t="str">
        <f aca="false">IF(AI214="","",MIN(AI214,AJ214))</f>
        <v/>
      </c>
      <c r="AL214" s="47" t="str">
        <f aca="false">IF($C214="","",IF(AK214="","Gris — menos de 3 fuentes",IF(AND(AK214&lt;Parámetros!$B$14,N214&lt;&gt;"",N(N214)&lt;Parámetros!$B$15,N(Y214)&gt;=60),"Gris — repetir observación",IF(AK214&gt;=Parámetros!$B$13,"Verde",IF(AK214&gt;=Parámetros!$B$14,"Amarillo","Rojo")))))</f>
        <v/>
      </c>
      <c r="AM214" s="47" t="str">
        <f aca="false">IF($C214="","",IF(AND(ISNUMBER(Y214),N(Y214)&lt;60),"Ejecución &lt; 60 %: rojo automático",IF(AND(ISNUMBER(AE214),N(AE214)&lt;80),"PIAR &lt; 80 %: máximo amarillo",IF(AND(ISNUMBER(AC214),N(AC214)&lt;50,N(O214)&gt;=2),"Observación &lt; 50: máximo amarillo",IF(AND(N214&lt;&gt;"",N(N214)&lt;Parámetros!$B$15),"κ &lt; 0,60: observación descartada, repetir","")))))</f>
        <v/>
      </c>
    </row>
    <row r="215" customFormat="false" ht="15" hidden="false" customHeight="fals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7" t="str">
        <f aca="false">IF(N(E215)&gt;0,MIN(100,F215/E215*100),"")</f>
        <v/>
      </c>
      <c r="Y215" s="47" t="str">
        <f aca="false">IF(N(G215)&gt;0,MIN(100,H215/G215*100),"")</f>
        <v/>
      </c>
      <c r="Z215" s="47" t="str">
        <f aca="false">IF(N(I215)&gt;0,MIN(100,J215/I215*100),"")</f>
        <v/>
      </c>
      <c r="AA215" s="47" t="str">
        <f aca="false">IF(K215="","",K215/24*100)</f>
        <v/>
      </c>
      <c r="AB215" s="47" t="str">
        <f aca="false">IF(L215="","",L215/3*100)</f>
        <v/>
      </c>
      <c r="AC215" s="47" t="str">
        <f aca="false">IF(OR(M215="",AND(N215&lt;&gt;"",N(N215)&lt;Parámetros!$B$15)),"",MAX(0,MIN(100,(M215-1)/4*100)))</f>
        <v/>
      </c>
      <c r="AD215" s="47" t="str">
        <f aca="false">IF(OR(P215="",N(Q215)=0),"",MAX(0,MIN(100,((Q215/(Q215+Parámetros!$B$16))*P215+(Parámetros!$B$16/(Q215+Parámetros!$B$16))*Parámetros!$B$17-0.1)/0.4*100)))</f>
        <v/>
      </c>
      <c r="AE215" s="47" t="str">
        <f aca="false">IF(N(R215)&gt;0,MIN(100,S215/R215*100),"")</f>
        <v/>
      </c>
      <c r="AF215" s="47" t="str">
        <f aca="false">IF(N(U215)&gt;0,MIN(100,T215/(U215*5)*100),"")</f>
        <v/>
      </c>
      <c r="AG215" s="47" t="str">
        <f aca="false">IF(OR(V215="",N(W215)&lt;10),"",(V215-1)/4*100)</f>
        <v/>
      </c>
      <c r="AH215" s="47" t="str">
        <f aca="false">IF($C215="","",COUNT(X215:AG215))</f>
        <v/>
      </c>
      <c r="AI215" s="47" t="str">
        <f aca="false">IF(OR($C215="",N(AH215)&lt;Parámetros!$B$18),"",(IF(ISNUMBER(X215),X215*Parámetros!$B$2,0)+IF(ISNUMBER(Y215),Y215*Parámetros!$B$3,0)+IF(ISNUMBER(Z215),Z215*Parámetros!$B$4,0)+IF(ISNUMBER(AA215),AA215*Parámetros!$B$5,0)+IF(ISNUMBER(AB215),AB215*Parámetros!$B$6,0)+IF(ISNUMBER(AC215),AC215*Parámetros!$B$7,0)+IF(ISNUMBER(AD215),AD215*Parámetros!$B$8,0)+IF(ISNUMBER(AE215),AE215*Parámetros!$B$9,0)+IF(ISNUMBER(AF215),AF215*Parámetros!$B$10,0)+IF(ISNUMBER(AG215),AG215*Parámetros!$B$11,0))/(IF(ISNUMBER(X215),Parámetros!$B$2,0)+IF(ISNUMBER(Y215),Parámetros!$B$3,0)+IF(ISNUMBER(Z215),Parámetros!$B$4,0)+IF(ISNUMBER(AA215),Parámetros!$B$5,0)+IF(ISNUMBER(AB215),Parámetros!$B$6,0)+IF(ISNUMBER(AC215),Parámetros!$B$7,0)+IF(ISNUMBER(AD215),Parámetros!$B$8,0)+IF(ISNUMBER(AE215),Parámetros!$B$9,0)+IF(ISNUMBER(AF215),Parámetros!$B$10,0)+IF(ISNUMBER(AG215),Parámetros!$B$11,0)))</f>
        <v/>
      </c>
      <c r="AJ215" s="47" t="n">
        <f aca="false">IF(AND(ISNUMBER(Y215),N(Y215)&lt;60),69.9,IF(OR(AND(ISNUMBER(AE215),N(AE215)&lt;80),AND(ISNUMBER(AC215),N(AC215)&lt;50,N(O215)&gt;=2)),84.9,100))</f>
        <v>100</v>
      </c>
      <c r="AK215" s="47" t="str">
        <f aca="false">IF(AI215="","",MIN(AI215,AJ215))</f>
        <v/>
      </c>
      <c r="AL215" s="47" t="str">
        <f aca="false">IF($C215="","",IF(AK215="","Gris — menos de 3 fuentes",IF(AND(AK215&lt;Parámetros!$B$14,N215&lt;&gt;"",N(N215)&lt;Parámetros!$B$15,N(Y215)&gt;=60),"Gris — repetir observación",IF(AK215&gt;=Parámetros!$B$13,"Verde",IF(AK215&gt;=Parámetros!$B$14,"Amarillo","Rojo")))))</f>
        <v/>
      </c>
      <c r="AM215" s="47" t="str">
        <f aca="false">IF($C215="","",IF(AND(ISNUMBER(Y215),N(Y215)&lt;60),"Ejecución &lt; 60 %: rojo automático",IF(AND(ISNUMBER(AE215),N(AE215)&lt;80),"PIAR &lt; 80 %: máximo amarillo",IF(AND(ISNUMBER(AC215),N(AC215)&lt;50,N(O215)&gt;=2),"Observación &lt; 50: máximo amarillo",IF(AND(N215&lt;&gt;"",N(N215)&lt;Parámetros!$B$15),"κ &lt; 0,60: observación descartada, repetir","")))))</f>
        <v/>
      </c>
    </row>
    <row r="216" customFormat="false" ht="15" hidden="false" customHeight="fals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7" t="str">
        <f aca="false">IF(N(E216)&gt;0,MIN(100,F216/E216*100),"")</f>
        <v/>
      </c>
      <c r="Y216" s="47" t="str">
        <f aca="false">IF(N(G216)&gt;0,MIN(100,H216/G216*100),"")</f>
        <v/>
      </c>
      <c r="Z216" s="47" t="str">
        <f aca="false">IF(N(I216)&gt;0,MIN(100,J216/I216*100),"")</f>
        <v/>
      </c>
      <c r="AA216" s="47" t="str">
        <f aca="false">IF(K216="","",K216/24*100)</f>
        <v/>
      </c>
      <c r="AB216" s="47" t="str">
        <f aca="false">IF(L216="","",L216/3*100)</f>
        <v/>
      </c>
      <c r="AC216" s="47" t="str">
        <f aca="false">IF(OR(M216="",AND(N216&lt;&gt;"",N(N216)&lt;Parámetros!$B$15)),"",MAX(0,MIN(100,(M216-1)/4*100)))</f>
        <v/>
      </c>
      <c r="AD216" s="47" t="str">
        <f aca="false">IF(OR(P216="",N(Q216)=0),"",MAX(0,MIN(100,((Q216/(Q216+Parámetros!$B$16))*P216+(Parámetros!$B$16/(Q216+Parámetros!$B$16))*Parámetros!$B$17-0.1)/0.4*100)))</f>
        <v/>
      </c>
      <c r="AE216" s="47" t="str">
        <f aca="false">IF(N(R216)&gt;0,MIN(100,S216/R216*100),"")</f>
        <v/>
      </c>
      <c r="AF216" s="47" t="str">
        <f aca="false">IF(N(U216)&gt;0,MIN(100,T216/(U216*5)*100),"")</f>
        <v/>
      </c>
      <c r="AG216" s="47" t="str">
        <f aca="false">IF(OR(V216="",N(W216)&lt;10),"",(V216-1)/4*100)</f>
        <v/>
      </c>
      <c r="AH216" s="47" t="str">
        <f aca="false">IF($C216="","",COUNT(X216:AG216))</f>
        <v/>
      </c>
      <c r="AI216" s="47" t="str">
        <f aca="false">IF(OR($C216="",N(AH216)&lt;Parámetros!$B$18),"",(IF(ISNUMBER(X216),X216*Parámetros!$B$2,0)+IF(ISNUMBER(Y216),Y216*Parámetros!$B$3,0)+IF(ISNUMBER(Z216),Z216*Parámetros!$B$4,0)+IF(ISNUMBER(AA216),AA216*Parámetros!$B$5,0)+IF(ISNUMBER(AB216),AB216*Parámetros!$B$6,0)+IF(ISNUMBER(AC216),AC216*Parámetros!$B$7,0)+IF(ISNUMBER(AD216),AD216*Parámetros!$B$8,0)+IF(ISNUMBER(AE216),AE216*Parámetros!$B$9,0)+IF(ISNUMBER(AF216),AF216*Parámetros!$B$10,0)+IF(ISNUMBER(AG216),AG216*Parámetros!$B$11,0))/(IF(ISNUMBER(X216),Parámetros!$B$2,0)+IF(ISNUMBER(Y216),Parámetros!$B$3,0)+IF(ISNUMBER(Z216),Parámetros!$B$4,0)+IF(ISNUMBER(AA216),Parámetros!$B$5,0)+IF(ISNUMBER(AB216),Parámetros!$B$6,0)+IF(ISNUMBER(AC216),Parámetros!$B$7,0)+IF(ISNUMBER(AD216),Parámetros!$B$8,0)+IF(ISNUMBER(AE216),Parámetros!$B$9,0)+IF(ISNUMBER(AF216),Parámetros!$B$10,0)+IF(ISNUMBER(AG216),Parámetros!$B$11,0)))</f>
        <v/>
      </c>
      <c r="AJ216" s="47" t="n">
        <f aca="false">IF(AND(ISNUMBER(Y216),N(Y216)&lt;60),69.9,IF(OR(AND(ISNUMBER(AE216),N(AE216)&lt;80),AND(ISNUMBER(AC216),N(AC216)&lt;50,N(O216)&gt;=2)),84.9,100))</f>
        <v>100</v>
      </c>
      <c r="AK216" s="47" t="str">
        <f aca="false">IF(AI216="","",MIN(AI216,AJ216))</f>
        <v/>
      </c>
      <c r="AL216" s="47" t="str">
        <f aca="false">IF($C216="","",IF(AK216="","Gris — menos de 3 fuentes",IF(AND(AK216&lt;Parámetros!$B$14,N216&lt;&gt;"",N(N216)&lt;Parámetros!$B$15,N(Y216)&gt;=60),"Gris — repetir observación",IF(AK216&gt;=Parámetros!$B$13,"Verde",IF(AK216&gt;=Parámetros!$B$14,"Amarillo","Rojo")))))</f>
        <v/>
      </c>
      <c r="AM216" s="47" t="str">
        <f aca="false">IF($C216="","",IF(AND(ISNUMBER(Y216),N(Y216)&lt;60),"Ejecución &lt; 60 %: rojo automático",IF(AND(ISNUMBER(AE216),N(AE216)&lt;80),"PIAR &lt; 80 %: máximo amarillo",IF(AND(ISNUMBER(AC216),N(AC216)&lt;50,N(O216)&gt;=2),"Observación &lt; 50: máximo amarillo",IF(AND(N216&lt;&gt;"",N(N216)&lt;Parámetros!$B$15),"κ &lt; 0,60: observación descartada, repetir","")))))</f>
        <v/>
      </c>
    </row>
    <row r="217" customFormat="false" ht="15" hidden="false" customHeight="fals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7" t="str">
        <f aca="false">IF(N(E217)&gt;0,MIN(100,F217/E217*100),"")</f>
        <v/>
      </c>
      <c r="Y217" s="47" t="str">
        <f aca="false">IF(N(G217)&gt;0,MIN(100,H217/G217*100),"")</f>
        <v/>
      </c>
      <c r="Z217" s="47" t="str">
        <f aca="false">IF(N(I217)&gt;0,MIN(100,J217/I217*100),"")</f>
        <v/>
      </c>
      <c r="AA217" s="47" t="str">
        <f aca="false">IF(K217="","",K217/24*100)</f>
        <v/>
      </c>
      <c r="AB217" s="47" t="str">
        <f aca="false">IF(L217="","",L217/3*100)</f>
        <v/>
      </c>
      <c r="AC217" s="47" t="str">
        <f aca="false">IF(OR(M217="",AND(N217&lt;&gt;"",N(N217)&lt;Parámetros!$B$15)),"",MAX(0,MIN(100,(M217-1)/4*100)))</f>
        <v/>
      </c>
      <c r="AD217" s="47" t="str">
        <f aca="false">IF(OR(P217="",N(Q217)=0),"",MAX(0,MIN(100,((Q217/(Q217+Parámetros!$B$16))*P217+(Parámetros!$B$16/(Q217+Parámetros!$B$16))*Parámetros!$B$17-0.1)/0.4*100)))</f>
        <v/>
      </c>
      <c r="AE217" s="47" t="str">
        <f aca="false">IF(N(R217)&gt;0,MIN(100,S217/R217*100),"")</f>
        <v/>
      </c>
      <c r="AF217" s="47" t="str">
        <f aca="false">IF(N(U217)&gt;0,MIN(100,T217/(U217*5)*100),"")</f>
        <v/>
      </c>
      <c r="AG217" s="47" t="str">
        <f aca="false">IF(OR(V217="",N(W217)&lt;10),"",(V217-1)/4*100)</f>
        <v/>
      </c>
      <c r="AH217" s="47" t="str">
        <f aca="false">IF($C217="","",COUNT(X217:AG217))</f>
        <v/>
      </c>
      <c r="AI217" s="47" t="str">
        <f aca="false">IF(OR($C217="",N(AH217)&lt;Parámetros!$B$18),"",(IF(ISNUMBER(X217),X217*Parámetros!$B$2,0)+IF(ISNUMBER(Y217),Y217*Parámetros!$B$3,0)+IF(ISNUMBER(Z217),Z217*Parámetros!$B$4,0)+IF(ISNUMBER(AA217),AA217*Parámetros!$B$5,0)+IF(ISNUMBER(AB217),AB217*Parámetros!$B$6,0)+IF(ISNUMBER(AC217),AC217*Parámetros!$B$7,0)+IF(ISNUMBER(AD217),AD217*Parámetros!$B$8,0)+IF(ISNUMBER(AE217),AE217*Parámetros!$B$9,0)+IF(ISNUMBER(AF217),AF217*Parámetros!$B$10,0)+IF(ISNUMBER(AG217),AG217*Parámetros!$B$11,0))/(IF(ISNUMBER(X217),Parámetros!$B$2,0)+IF(ISNUMBER(Y217),Parámetros!$B$3,0)+IF(ISNUMBER(Z217),Parámetros!$B$4,0)+IF(ISNUMBER(AA217),Parámetros!$B$5,0)+IF(ISNUMBER(AB217),Parámetros!$B$6,0)+IF(ISNUMBER(AC217),Parámetros!$B$7,0)+IF(ISNUMBER(AD217),Parámetros!$B$8,0)+IF(ISNUMBER(AE217),Parámetros!$B$9,0)+IF(ISNUMBER(AF217),Parámetros!$B$10,0)+IF(ISNUMBER(AG217),Parámetros!$B$11,0)))</f>
        <v/>
      </c>
      <c r="AJ217" s="47" t="n">
        <f aca="false">IF(AND(ISNUMBER(Y217),N(Y217)&lt;60),69.9,IF(OR(AND(ISNUMBER(AE217),N(AE217)&lt;80),AND(ISNUMBER(AC217),N(AC217)&lt;50,N(O217)&gt;=2)),84.9,100))</f>
        <v>100</v>
      </c>
      <c r="AK217" s="47" t="str">
        <f aca="false">IF(AI217="","",MIN(AI217,AJ217))</f>
        <v/>
      </c>
      <c r="AL217" s="47" t="str">
        <f aca="false">IF($C217="","",IF(AK217="","Gris — menos de 3 fuentes",IF(AND(AK217&lt;Parámetros!$B$14,N217&lt;&gt;"",N(N217)&lt;Parámetros!$B$15,N(Y217)&gt;=60),"Gris — repetir observación",IF(AK217&gt;=Parámetros!$B$13,"Verde",IF(AK217&gt;=Parámetros!$B$14,"Amarillo","Rojo")))))</f>
        <v/>
      </c>
      <c r="AM217" s="47" t="str">
        <f aca="false">IF($C217="","",IF(AND(ISNUMBER(Y217),N(Y217)&lt;60),"Ejecución &lt; 60 %: rojo automático",IF(AND(ISNUMBER(AE217),N(AE217)&lt;80),"PIAR &lt; 80 %: máximo amarillo",IF(AND(ISNUMBER(AC217),N(AC217)&lt;50,N(O217)&gt;=2),"Observación &lt; 50: máximo amarillo",IF(AND(N217&lt;&gt;"",N(N217)&lt;Parámetros!$B$15),"κ &lt; 0,60: observación descartada, repetir","")))))</f>
        <v/>
      </c>
    </row>
    <row r="218" customFormat="false" ht="15" hidden="false" customHeight="fals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7" t="str">
        <f aca="false">IF(N(E218)&gt;0,MIN(100,F218/E218*100),"")</f>
        <v/>
      </c>
      <c r="Y218" s="47" t="str">
        <f aca="false">IF(N(G218)&gt;0,MIN(100,H218/G218*100),"")</f>
        <v/>
      </c>
      <c r="Z218" s="47" t="str">
        <f aca="false">IF(N(I218)&gt;0,MIN(100,J218/I218*100),"")</f>
        <v/>
      </c>
      <c r="AA218" s="47" t="str">
        <f aca="false">IF(K218="","",K218/24*100)</f>
        <v/>
      </c>
      <c r="AB218" s="47" t="str">
        <f aca="false">IF(L218="","",L218/3*100)</f>
        <v/>
      </c>
      <c r="AC218" s="47" t="str">
        <f aca="false">IF(OR(M218="",AND(N218&lt;&gt;"",N(N218)&lt;Parámetros!$B$15)),"",MAX(0,MIN(100,(M218-1)/4*100)))</f>
        <v/>
      </c>
      <c r="AD218" s="47" t="str">
        <f aca="false">IF(OR(P218="",N(Q218)=0),"",MAX(0,MIN(100,((Q218/(Q218+Parámetros!$B$16))*P218+(Parámetros!$B$16/(Q218+Parámetros!$B$16))*Parámetros!$B$17-0.1)/0.4*100)))</f>
        <v/>
      </c>
      <c r="AE218" s="47" t="str">
        <f aca="false">IF(N(R218)&gt;0,MIN(100,S218/R218*100),"")</f>
        <v/>
      </c>
      <c r="AF218" s="47" t="str">
        <f aca="false">IF(N(U218)&gt;0,MIN(100,T218/(U218*5)*100),"")</f>
        <v/>
      </c>
      <c r="AG218" s="47" t="str">
        <f aca="false">IF(OR(V218="",N(W218)&lt;10),"",(V218-1)/4*100)</f>
        <v/>
      </c>
      <c r="AH218" s="47" t="str">
        <f aca="false">IF($C218="","",COUNT(X218:AG218))</f>
        <v/>
      </c>
      <c r="AI218" s="47" t="str">
        <f aca="false">IF(OR($C218="",N(AH218)&lt;Parámetros!$B$18),"",(IF(ISNUMBER(X218),X218*Parámetros!$B$2,0)+IF(ISNUMBER(Y218),Y218*Parámetros!$B$3,0)+IF(ISNUMBER(Z218),Z218*Parámetros!$B$4,0)+IF(ISNUMBER(AA218),AA218*Parámetros!$B$5,0)+IF(ISNUMBER(AB218),AB218*Parámetros!$B$6,0)+IF(ISNUMBER(AC218),AC218*Parámetros!$B$7,0)+IF(ISNUMBER(AD218),AD218*Parámetros!$B$8,0)+IF(ISNUMBER(AE218),AE218*Parámetros!$B$9,0)+IF(ISNUMBER(AF218),AF218*Parámetros!$B$10,0)+IF(ISNUMBER(AG218),AG218*Parámetros!$B$11,0))/(IF(ISNUMBER(X218),Parámetros!$B$2,0)+IF(ISNUMBER(Y218),Parámetros!$B$3,0)+IF(ISNUMBER(Z218),Parámetros!$B$4,0)+IF(ISNUMBER(AA218),Parámetros!$B$5,0)+IF(ISNUMBER(AB218),Parámetros!$B$6,0)+IF(ISNUMBER(AC218),Parámetros!$B$7,0)+IF(ISNUMBER(AD218),Parámetros!$B$8,0)+IF(ISNUMBER(AE218),Parámetros!$B$9,0)+IF(ISNUMBER(AF218),Parámetros!$B$10,0)+IF(ISNUMBER(AG218),Parámetros!$B$11,0)))</f>
        <v/>
      </c>
      <c r="AJ218" s="47" t="n">
        <f aca="false">IF(AND(ISNUMBER(Y218),N(Y218)&lt;60),69.9,IF(OR(AND(ISNUMBER(AE218),N(AE218)&lt;80),AND(ISNUMBER(AC218),N(AC218)&lt;50,N(O218)&gt;=2)),84.9,100))</f>
        <v>100</v>
      </c>
      <c r="AK218" s="47" t="str">
        <f aca="false">IF(AI218="","",MIN(AI218,AJ218))</f>
        <v/>
      </c>
      <c r="AL218" s="47" t="str">
        <f aca="false">IF($C218="","",IF(AK218="","Gris — menos de 3 fuentes",IF(AND(AK218&lt;Parámetros!$B$14,N218&lt;&gt;"",N(N218)&lt;Parámetros!$B$15,N(Y218)&gt;=60),"Gris — repetir observación",IF(AK218&gt;=Parámetros!$B$13,"Verde",IF(AK218&gt;=Parámetros!$B$14,"Amarillo","Rojo")))))</f>
        <v/>
      </c>
      <c r="AM218" s="47" t="str">
        <f aca="false">IF($C218="","",IF(AND(ISNUMBER(Y218),N(Y218)&lt;60),"Ejecución &lt; 60 %: rojo automático",IF(AND(ISNUMBER(AE218),N(AE218)&lt;80),"PIAR &lt; 80 %: máximo amarillo",IF(AND(ISNUMBER(AC218),N(AC218)&lt;50,N(O218)&gt;=2),"Observación &lt; 50: máximo amarillo",IF(AND(N218&lt;&gt;"",N(N218)&lt;Parámetros!$B$15),"κ &lt; 0,60: observación descartada, repetir","")))))</f>
        <v/>
      </c>
    </row>
    <row r="219" customFormat="false" ht="15" hidden="false" customHeight="fals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7" t="str">
        <f aca="false">IF(N(E219)&gt;0,MIN(100,F219/E219*100),"")</f>
        <v/>
      </c>
      <c r="Y219" s="47" t="str">
        <f aca="false">IF(N(G219)&gt;0,MIN(100,H219/G219*100),"")</f>
        <v/>
      </c>
      <c r="Z219" s="47" t="str">
        <f aca="false">IF(N(I219)&gt;0,MIN(100,J219/I219*100),"")</f>
        <v/>
      </c>
      <c r="AA219" s="47" t="str">
        <f aca="false">IF(K219="","",K219/24*100)</f>
        <v/>
      </c>
      <c r="AB219" s="47" t="str">
        <f aca="false">IF(L219="","",L219/3*100)</f>
        <v/>
      </c>
      <c r="AC219" s="47" t="str">
        <f aca="false">IF(OR(M219="",AND(N219&lt;&gt;"",N(N219)&lt;Parámetros!$B$15)),"",MAX(0,MIN(100,(M219-1)/4*100)))</f>
        <v/>
      </c>
      <c r="AD219" s="47" t="str">
        <f aca="false">IF(OR(P219="",N(Q219)=0),"",MAX(0,MIN(100,((Q219/(Q219+Parámetros!$B$16))*P219+(Parámetros!$B$16/(Q219+Parámetros!$B$16))*Parámetros!$B$17-0.1)/0.4*100)))</f>
        <v/>
      </c>
      <c r="AE219" s="47" t="str">
        <f aca="false">IF(N(R219)&gt;0,MIN(100,S219/R219*100),"")</f>
        <v/>
      </c>
      <c r="AF219" s="47" t="str">
        <f aca="false">IF(N(U219)&gt;0,MIN(100,T219/(U219*5)*100),"")</f>
        <v/>
      </c>
      <c r="AG219" s="47" t="str">
        <f aca="false">IF(OR(V219="",N(W219)&lt;10),"",(V219-1)/4*100)</f>
        <v/>
      </c>
      <c r="AH219" s="47" t="str">
        <f aca="false">IF($C219="","",COUNT(X219:AG219))</f>
        <v/>
      </c>
      <c r="AI219" s="47" t="str">
        <f aca="false">IF(OR($C219="",N(AH219)&lt;Parámetros!$B$18),"",(IF(ISNUMBER(X219),X219*Parámetros!$B$2,0)+IF(ISNUMBER(Y219),Y219*Parámetros!$B$3,0)+IF(ISNUMBER(Z219),Z219*Parámetros!$B$4,0)+IF(ISNUMBER(AA219),AA219*Parámetros!$B$5,0)+IF(ISNUMBER(AB219),AB219*Parámetros!$B$6,0)+IF(ISNUMBER(AC219),AC219*Parámetros!$B$7,0)+IF(ISNUMBER(AD219),AD219*Parámetros!$B$8,0)+IF(ISNUMBER(AE219),AE219*Parámetros!$B$9,0)+IF(ISNUMBER(AF219),AF219*Parámetros!$B$10,0)+IF(ISNUMBER(AG219),AG219*Parámetros!$B$11,0))/(IF(ISNUMBER(X219),Parámetros!$B$2,0)+IF(ISNUMBER(Y219),Parámetros!$B$3,0)+IF(ISNUMBER(Z219),Parámetros!$B$4,0)+IF(ISNUMBER(AA219),Parámetros!$B$5,0)+IF(ISNUMBER(AB219),Parámetros!$B$6,0)+IF(ISNUMBER(AC219),Parámetros!$B$7,0)+IF(ISNUMBER(AD219),Parámetros!$B$8,0)+IF(ISNUMBER(AE219),Parámetros!$B$9,0)+IF(ISNUMBER(AF219),Parámetros!$B$10,0)+IF(ISNUMBER(AG219),Parámetros!$B$11,0)))</f>
        <v/>
      </c>
      <c r="AJ219" s="47" t="n">
        <f aca="false">IF(AND(ISNUMBER(Y219),N(Y219)&lt;60),69.9,IF(OR(AND(ISNUMBER(AE219),N(AE219)&lt;80),AND(ISNUMBER(AC219),N(AC219)&lt;50,N(O219)&gt;=2)),84.9,100))</f>
        <v>100</v>
      </c>
      <c r="AK219" s="47" t="str">
        <f aca="false">IF(AI219="","",MIN(AI219,AJ219))</f>
        <v/>
      </c>
      <c r="AL219" s="47" t="str">
        <f aca="false">IF($C219="","",IF(AK219="","Gris — menos de 3 fuentes",IF(AND(AK219&lt;Parámetros!$B$14,N219&lt;&gt;"",N(N219)&lt;Parámetros!$B$15,N(Y219)&gt;=60),"Gris — repetir observación",IF(AK219&gt;=Parámetros!$B$13,"Verde",IF(AK219&gt;=Parámetros!$B$14,"Amarillo","Rojo")))))</f>
        <v/>
      </c>
      <c r="AM219" s="47" t="str">
        <f aca="false">IF($C219="","",IF(AND(ISNUMBER(Y219),N(Y219)&lt;60),"Ejecución &lt; 60 %: rojo automático",IF(AND(ISNUMBER(AE219),N(AE219)&lt;80),"PIAR &lt; 80 %: máximo amarillo",IF(AND(ISNUMBER(AC219),N(AC219)&lt;50,N(O219)&gt;=2),"Observación &lt; 50: máximo amarillo",IF(AND(N219&lt;&gt;"",N(N219)&lt;Parámetros!$B$15),"κ &lt; 0,60: observación descartada, repetir","")))))</f>
        <v/>
      </c>
    </row>
    <row r="220" customFormat="false" ht="15" hidden="false" customHeight="fals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7" t="str">
        <f aca="false">IF(N(E220)&gt;0,MIN(100,F220/E220*100),"")</f>
        <v/>
      </c>
      <c r="Y220" s="47" t="str">
        <f aca="false">IF(N(G220)&gt;0,MIN(100,H220/G220*100),"")</f>
        <v/>
      </c>
      <c r="Z220" s="47" t="str">
        <f aca="false">IF(N(I220)&gt;0,MIN(100,J220/I220*100),"")</f>
        <v/>
      </c>
      <c r="AA220" s="47" t="str">
        <f aca="false">IF(K220="","",K220/24*100)</f>
        <v/>
      </c>
      <c r="AB220" s="47" t="str">
        <f aca="false">IF(L220="","",L220/3*100)</f>
        <v/>
      </c>
      <c r="AC220" s="47" t="str">
        <f aca="false">IF(OR(M220="",AND(N220&lt;&gt;"",N(N220)&lt;Parámetros!$B$15)),"",MAX(0,MIN(100,(M220-1)/4*100)))</f>
        <v/>
      </c>
      <c r="AD220" s="47" t="str">
        <f aca="false">IF(OR(P220="",N(Q220)=0),"",MAX(0,MIN(100,((Q220/(Q220+Parámetros!$B$16))*P220+(Parámetros!$B$16/(Q220+Parámetros!$B$16))*Parámetros!$B$17-0.1)/0.4*100)))</f>
        <v/>
      </c>
      <c r="AE220" s="47" t="str">
        <f aca="false">IF(N(R220)&gt;0,MIN(100,S220/R220*100),"")</f>
        <v/>
      </c>
      <c r="AF220" s="47" t="str">
        <f aca="false">IF(N(U220)&gt;0,MIN(100,T220/(U220*5)*100),"")</f>
        <v/>
      </c>
      <c r="AG220" s="47" t="str">
        <f aca="false">IF(OR(V220="",N(W220)&lt;10),"",(V220-1)/4*100)</f>
        <v/>
      </c>
      <c r="AH220" s="47" t="str">
        <f aca="false">IF($C220="","",COUNT(X220:AG220))</f>
        <v/>
      </c>
      <c r="AI220" s="47" t="str">
        <f aca="false">IF(OR($C220="",N(AH220)&lt;Parámetros!$B$18),"",(IF(ISNUMBER(X220),X220*Parámetros!$B$2,0)+IF(ISNUMBER(Y220),Y220*Parámetros!$B$3,0)+IF(ISNUMBER(Z220),Z220*Parámetros!$B$4,0)+IF(ISNUMBER(AA220),AA220*Parámetros!$B$5,0)+IF(ISNUMBER(AB220),AB220*Parámetros!$B$6,0)+IF(ISNUMBER(AC220),AC220*Parámetros!$B$7,0)+IF(ISNUMBER(AD220),AD220*Parámetros!$B$8,0)+IF(ISNUMBER(AE220),AE220*Parámetros!$B$9,0)+IF(ISNUMBER(AF220),AF220*Parámetros!$B$10,0)+IF(ISNUMBER(AG220),AG220*Parámetros!$B$11,0))/(IF(ISNUMBER(X220),Parámetros!$B$2,0)+IF(ISNUMBER(Y220),Parámetros!$B$3,0)+IF(ISNUMBER(Z220),Parámetros!$B$4,0)+IF(ISNUMBER(AA220),Parámetros!$B$5,0)+IF(ISNUMBER(AB220),Parámetros!$B$6,0)+IF(ISNUMBER(AC220),Parámetros!$B$7,0)+IF(ISNUMBER(AD220),Parámetros!$B$8,0)+IF(ISNUMBER(AE220),Parámetros!$B$9,0)+IF(ISNUMBER(AF220),Parámetros!$B$10,0)+IF(ISNUMBER(AG220),Parámetros!$B$11,0)))</f>
        <v/>
      </c>
      <c r="AJ220" s="47" t="n">
        <f aca="false">IF(AND(ISNUMBER(Y220),N(Y220)&lt;60),69.9,IF(OR(AND(ISNUMBER(AE220),N(AE220)&lt;80),AND(ISNUMBER(AC220),N(AC220)&lt;50,N(O220)&gt;=2)),84.9,100))</f>
        <v>100</v>
      </c>
      <c r="AK220" s="47" t="str">
        <f aca="false">IF(AI220="","",MIN(AI220,AJ220))</f>
        <v/>
      </c>
      <c r="AL220" s="47" t="str">
        <f aca="false">IF($C220="","",IF(AK220="","Gris — menos de 3 fuentes",IF(AND(AK220&lt;Parámetros!$B$14,N220&lt;&gt;"",N(N220)&lt;Parámetros!$B$15,N(Y220)&gt;=60),"Gris — repetir observación",IF(AK220&gt;=Parámetros!$B$13,"Verde",IF(AK220&gt;=Parámetros!$B$14,"Amarillo","Rojo")))))</f>
        <v/>
      </c>
      <c r="AM220" s="47" t="str">
        <f aca="false">IF($C220="","",IF(AND(ISNUMBER(Y220),N(Y220)&lt;60),"Ejecución &lt; 60 %: rojo automático",IF(AND(ISNUMBER(AE220),N(AE220)&lt;80),"PIAR &lt; 80 %: máximo amarillo",IF(AND(ISNUMBER(AC220),N(AC220)&lt;50,N(O220)&gt;=2),"Observación &lt; 50: máximo amarillo",IF(AND(N220&lt;&gt;"",N(N220)&lt;Parámetros!$B$15),"κ &lt; 0,60: observación descartada, repetir","")))))</f>
        <v/>
      </c>
    </row>
    <row r="221" customFormat="false" ht="15" hidden="false" customHeight="fals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7" t="str">
        <f aca="false">IF(N(E221)&gt;0,MIN(100,F221/E221*100),"")</f>
        <v/>
      </c>
      <c r="Y221" s="47" t="str">
        <f aca="false">IF(N(G221)&gt;0,MIN(100,H221/G221*100),"")</f>
        <v/>
      </c>
      <c r="Z221" s="47" t="str">
        <f aca="false">IF(N(I221)&gt;0,MIN(100,J221/I221*100),"")</f>
        <v/>
      </c>
      <c r="AA221" s="47" t="str">
        <f aca="false">IF(K221="","",K221/24*100)</f>
        <v/>
      </c>
      <c r="AB221" s="47" t="str">
        <f aca="false">IF(L221="","",L221/3*100)</f>
        <v/>
      </c>
      <c r="AC221" s="47" t="str">
        <f aca="false">IF(OR(M221="",AND(N221&lt;&gt;"",N(N221)&lt;Parámetros!$B$15)),"",MAX(0,MIN(100,(M221-1)/4*100)))</f>
        <v/>
      </c>
      <c r="AD221" s="47" t="str">
        <f aca="false">IF(OR(P221="",N(Q221)=0),"",MAX(0,MIN(100,((Q221/(Q221+Parámetros!$B$16))*P221+(Parámetros!$B$16/(Q221+Parámetros!$B$16))*Parámetros!$B$17-0.1)/0.4*100)))</f>
        <v/>
      </c>
      <c r="AE221" s="47" t="str">
        <f aca="false">IF(N(R221)&gt;0,MIN(100,S221/R221*100),"")</f>
        <v/>
      </c>
      <c r="AF221" s="47" t="str">
        <f aca="false">IF(N(U221)&gt;0,MIN(100,T221/(U221*5)*100),"")</f>
        <v/>
      </c>
      <c r="AG221" s="47" t="str">
        <f aca="false">IF(OR(V221="",N(W221)&lt;10),"",(V221-1)/4*100)</f>
        <v/>
      </c>
      <c r="AH221" s="47" t="str">
        <f aca="false">IF($C221="","",COUNT(X221:AG221))</f>
        <v/>
      </c>
      <c r="AI221" s="47" t="str">
        <f aca="false">IF(OR($C221="",N(AH221)&lt;Parámetros!$B$18),"",(IF(ISNUMBER(X221),X221*Parámetros!$B$2,0)+IF(ISNUMBER(Y221),Y221*Parámetros!$B$3,0)+IF(ISNUMBER(Z221),Z221*Parámetros!$B$4,0)+IF(ISNUMBER(AA221),AA221*Parámetros!$B$5,0)+IF(ISNUMBER(AB221),AB221*Parámetros!$B$6,0)+IF(ISNUMBER(AC221),AC221*Parámetros!$B$7,0)+IF(ISNUMBER(AD221),AD221*Parámetros!$B$8,0)+IF(ISNUMBER(AE221),AE221*Parámetros!$B$9,0)+IF(ISNUMBER(AF221),AF221*Parámetros!$B$10,0)+IF(ISNUMBER(AG221),AG221*Parámetros!$B$11,0))/(IF(ISNUMBER(X221),Parámetros!$B$2,0)+IF(ISNUMBER(Y221),Parámetros!$B$3,0)+IF(ISNUMBER(Z221),Parámetros!$B$4,0)+IF(ISNUMBER(AA221),Parámetros!$B$5,0)+IF(ISNUMBER(AB221),Parámetros!$B$6,0)+IF(ISNUMBER(AC221),Parámetros!$B$7,0)+IF(ISNUMBER(AD221),Parámetros!$B$8,0)+IF(ISNUMBER(AE221),Parámetros!$B$9,0)+IF(ISNUMBER(AF221),Parámetros!$B$10,0)+IF(ISNUMBER(AG221),Parámetros!$B$11,0)))</f>
        <v/>
      </c>
      <c r="AJ221" s="47" t="n">
        <f aca="false">IF(AND(ISNUMBER(Y221),N(Y221)&lt;60),69.9,IF(OR(AND(ISNUMBER(AE221),N(AE221)&lt;80),AND(ISNUMBER(AC221),N(AC221)&lt;50,N(O221)&gt;=2)),84.9,100))</f>
        <v>100</v>
      </c>
      <c r="AK221" s="47" t="str">
        <f aca="false">IF(AI221="","",MIN(AI221,AJ221))</f>
        <v/>
      </c>
      <c r="AL221" s="47" t="str">
        <f aca="false">IF($C221="","",IF(AK221="","Gris — menos de 3 fuentes",IF(AND(AK221&lt;Parámetros!$B$14,N221&lt;&gt;"",N(N221)&lt;Parámetros!$B$15,N(Y221)&gt;=60),"Gris — repetir observación",IF(AK221&gt;=Parámetros!$B$13,"Verde",IF(AK221&gt;=Parámetros!$B$14,"Amarillo","Rojo")))))</f>
        <v/>
      </c>
      <c r="AM221" s="47" t="str">
        <f aca="false">IF($C221="","",IF(AND(ISNUMBER(Y221),N(Y221)&lt;60),"Ejecución &lt; 60 %: rojo automático",IF(AND(ISNUMBER(AE221),N(AE221)&lt;80),"PIAR &lt; 80 %: máximo amarillo",IF(AND(ISNUMBER(AC221),N(AC221)&lt;50,N(O221)&gt;=2),"Observación &lt; 50: máximo amarillo",IF(AND(N221&lt;&gt;"",N(N221)&lt;Parámetros!$B$15),"κ &lt; 0,60: observación descartada, repetir","")))))</f>
        <v/>
      </c>
    </row>
    <row r="222" customFormat="false" ht="15" hidden="false" customHeight="fals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7" t="str">
        <f aca="false">IF(N(E222)&gt;0,MIN(100,F222/E222*100),"")</f>
        <v/>
      </c>
      <c r="Y222" s="47" t="str">
        <f aca="false">IF(N(G222)&gt;0,MIN(100,H222/G222*100),"")</f>
        <v/>
      </c>
      <c r="Z222" s="47" t="str">
        <f aca="false">IF(N(I222)&gt;0,MIN(100,J222/I222*100),"")</f>
        <v/>
      </c>
      <c r="AA222" s="47" t="str">
        <f aca="false">IF(K222="","",K222/24*100)</f>
        <v/>
      </c>
      <c r="AB222" s="47" t="str">
        <f aca="false">IF(L222="","",L222/3*100)</f>
        <v/>
      </c>
      <c r="AC222" s="47" t="str">
        <f aca="false">IF(OR(M222="",AND(N222&lt;&gt;"",N(N222)&lt;Parámetros!$B$15)),"",MAX(0,MIN(100,(M222-1)/4*100)))</f>
        <v/>
      </c>
      <c r="AD222" s="47" t="str">
        <f aca="false">IF(OR(P222="",N(Q222)=0),"",MAX(0,MIN(100,((Q222/(Q222+Parámetros!$B$16))*P222+(Parámetros!$B$16/(Q222+Parámetros!$B$16))*Parámetros!$B$17-0.1)/0.4*100)))</f>
        <v/>
      </c>
      <c r="AE222" s="47" t="str">
        <f aca="false">IF(N(R222)&gt;0,MIN(100,S222/R222*100),"")</f>
        <v/>
      </c>
      <c r="AF222" s="47" t="str">
        <f aca="false">IF(N(U222)&gt;0,MIN(100,T222/(U222*5)*100),"")</f>
        <v/>
      </c>
      <c r="AG222" s="47" t="str">
        <f aca="false">IF(OR(V222="",N(W222)&lt;10),"",(V222-1)/4*100)</f>
        <v/>
      </c>
      <c r="AH222" s="47" t="str">
        <f aca="false">IF($C222="","",COUNT(X222:AG222))</f>
        <v/>
      </c>
      <c r="AI222" s="47" t="str">
        <f aca="false">IF(OR($C222="",N(AH222)&lt;Parámetros!$B$18),"",(IF(ISNUMBER(X222),X222*Parámetros!$B$2,0)+IF(ISNUMBER(Y222),Y222*Parámetros!$B$3,0)+IF(ISNUMBER(Z222),Z222*Parámetros!$B$4,0)+IF(ISNUMBER(AA222),AA222*Parámetros!$B$5,0)+IF(ISNUMBER(AB222),AB222*Parámetros!$B$6,0)+IF(ISNUMBER(AC222),AC222*Parámetros!$B$7,0)+IF(ISNUMBER(AD222),AD222*Parámetros!$B$8,0)+IF(ISNUMBER(AE222),AE222*Parámetros!$B$9,0)+IF(ISNUMBER(AF222),AF222*Parámetros!$B$10,0)+IF(ISNUMBER(AG222),AG222*Parámetros!$B$11,0))/(IF(ISNUMBER(X222),Parámetros!$B$2,0)+IF(ISNUMBER(Y222),Parámetros!$B$3,0)+IF(ISNUMBER(Z222),Parámetros!$B$4,0)+IF(ISNUMBER(AA222),Parámetros!$B$5,0)+IF(ISNUMBER(AB222),Parámetros!$B$6,0)+IF(ISNUMBER(AC222),Parámetros!$B$7,0)+IF(ISNUMBER(AD222),Parámetros!$B$8,0)+IF(ISNUMBER(AE222),Parámetros!$B$9,0)+IF(ISNUMBER(AF222),Parámetros!$B$10,0)+IF(ISNUMBER(AG222),Parámetros!$B$11,0)))</f>
        <v/>
      </c>
      <c r="AJ222" s="47" t="n">
        <f aca="false">IF(AND(ISNUMBER(Y222),N(Y222)&lt;60),69.9,IF(OR(AND(ISNUMBER(AE222),N(AE222)&lt;80),AND(ISNUMBER(AC222),N(AC222)&lt;50,N(O222)&gt;=2)),84.9,100))</f>
        <v>100</v>
      </c>
      <c r="AK222" s="47" t="str">
        <f aca="false">IF(AI222="","",MIN(AI222,AJ222))</f>
        <v/>
      </c>
      <c r="AL222" s="47" t="str">
        <f aca="false">IF($C222="","",IF(AK222="","Gris — menos de 3 fuentes",IF(AND(AK222&lt;Parámetros!$B$14,N222&lt;&gt;"",N(N222)&lt;Parámetros!$B$15,N(Y222)&gt;=60),"Gris — repetir observación",IF(AK222&gt;=Parámetros!$B$13,"Verde",IF(AK222&gt;=Parámetros!$B$14,"Amarillo","Rojo")))))</f>
        <v/>
      </c>
      <c r="AM222" s="47" t="str">
        <f aca="false">IF($C222="","",IF(AND(ISNUMBER(Y222),N(Y222)&lt;60),"Ejecución &lt; 60 %: rojo automático",IF(AND(ISNUMBER(AE222),N(AE222)&lt;80),"PIAR &lt; 80 %: máximo amarillo",IF(AND(ISNUMBER(AC222),N(AC222)&lt;50,N(O222)&gt;=2),"Observación &lt; 50: máximo amarillo",IF(AND(N222&lt;&gt;"",N(N222)&lt;Parámetros!$B$15),"κ &lt; 0,60: observación descartada, repetir","")))))</f>
        <v/>
      </c>
    </row>
    <row r="223" customFormat="false" ht="15" hidden="false" customHeight="fals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7" t="str">
        <f aca="false">IF(N(E223)&gt;0,MIN(100,F223/E223*100),"")</f>
        <v/>
      </c>
      <c r="Y223" s="47" t="str">
        <f aca="false">IF(N(G223)&gt;0,MIN(100,H223/G223*100),"")</f>
        <v/>
      </c>
      <c r="Z223" s="47" t="str">
        <f aca="false">IF(N(I223)&gt;0,MIN(100,J223/I223*100),"")</f>
        <v/>
      </c>
      <c r="AA223" s="47" t="str">
        <f aca="false">IF(K223="","",K223/24*100)</f>
        <v/>
      </c>
      <c r="AB223" s="47" t="str">
        <f aca="false">IF(L223="","",L223/3*100)</f>
        <v/>
      </c>
      <c r="AC223" s="47" t="str">
        <f aca="false">IF(OR(M223="",AND(N223&lt;&gt;"",N(N223)&lt;Parámetros!$B$15)),"",MAX(0,MIN(100,(M223-1)/4*100)))</f>
        <v/>
      </c>
      <c r="AD223" s="47" t="str">
        <f aca="false">IF(OR(P223="",N(Q223)=0),"",MAX(0,MIN(100,((Q223/(Q223+Parámetros!$B$16))*P223+(Parámetros!$B$16/(Q223+Parámetros!$B$16))*Parámetros!$B$17-0.1)/0.4*100)))</f>
        <v/>
      </c>
      <c r="AE223" s="47" t="str">
        <f aca="false">IF(N(R223)&gt;0,MIN(100,S223/R223*100),"")</f>
        <v/>
      </c>
      <c r="AF223" s="47" t="str">
        <f aca="false">IF(N(U223)&gt;0,MIN(100,T223/(U223*5)*100),"")</f>
        <v/>
      </c>
      <c r="AG223" s="47" t="str">
        <f aca="false">IF(OR(V223="",N(W223)&lt;10),"",(V223-1)/4*100)</f>
        <v/>
      </c>
      <c r="AH223" s="47" t="str">
        <f aca="false">IF($C223="","",COUNT(X223:AG223))</f>
        <v/>
      </c>
      <c r="AI223" s="47" t="str">
        <f aca="false">IF(OR($C223="",N(AH223)&lt;Parámetros!$B$18),"",(IF(ISNUMBER(X223),X223*Parámetros!$B$2,0)+IF(ISNUMBER(Y223),Y223*Parámetros!$B$3,0)+IF(ISNUMBER(Z223),Z223*Parámetros!$B$4,0)+IF(ISNUMBER(AA223),AA223*Parámetros!$B$5,0)+IF(ISNUMBER(AB223),AB223*Parámetros!$B$6,0)+IF(ISNUMBER(AC223),AC223*Parámetros!$B$7,0)+IF(ISNUMBER(AD223),AD223*Parámetros!$B$8,0)+IF(ISNUMBER(AE223),AE223*Parámetros!$B$9,0)+IF(ISNUMBER(AF223),AF223*Parámetros!$B$10,0)+IF(ISNUMBER(AG223),AG223*Parámetros!$B$11,0))/(IF(ISNUMBER(X223),Parámetros!$B$2,0)+IF(ISNUMBER(Y223),Parámetros!$B$3,0)+IF(ISNUMBER(Z223),Parámetros!$B$4,0)+IF(ISNUMBER(AA223),Parámetros!$B$5,0)+IF(ISNUMBER(AB223),Parámetros!$B$6,0)+IF(ISNUMBER(AC223),Parámetros!$B$7,0)+IF(ISNUMBER(AD223),Parámetros!$B$8,0)+IF(ISNUMBER(AE223),Parámetros!$B$9,0)+IF(ISNUMBER(AF223),Parámetros!$B$10,0)+IF(ISNUMBER(AG223),Parámetros!$B$11,0)))</f>
        <v/>
      </c>
      <c r="AJ223" s="47" t="n">
        <f aca="false">IF(AND(ISNUMBER(Y223),N(Y223)&lt;60),69.9,IF(OR(AND(ISNUMBER(AE223),N(AE223)&lt;80),AND(ISNUMBER(AC223),N(AC223)&lt;50,N(O223)&gt;=2)),84.9,100))</f>
        <v>100</v>
      </c>
      <c r="AK223" s="47" t="str">
        <f aca="false">IF(AI223="","",MIN(AI223,AJ223))</f>
        <v/>
      </c>
      <c r="AL223" s="47" t="str">
        <f aca="false">IF($C223="","",IF(AK223="","Gris — menos de 3 fuentes",IF(AND(AK223&lt;Parámetros!$B$14,N223&lt;&gt;"",N(N223)&lt;Parámetros!$B$15,N(Y223)&gt;=60),"Gris — repetir observación",IF(AK223&gt;=Parámetros!$B$13,"Verde",IF(AK223&gt;=Parámetros!$B$14,"Amarillo","Rojo")))))</f>
        <v/>
      </c>
      <c r="AM223" s="47" t="str">
        <f aca="false">IF($C223="","",IF(AND(ISNUMBER(Y223),N(Y223)&lt;60),"Ejecución &lt; 60 %: rojo automático",IF(AND(ISNUMBER(AE223),N(AE223)&lt;80),"PIAR &lt; 80 %: máximo amarillo",IF(AND(ISNUMBER(AC223),N(AC223)&lt;50,N(O223)&gt;=2),"Observación &lt; 50: máximo amarillo",IF(AND(N223&lt;&gt;"",N(N223)&lt;Parámetros!$B$15),"κ &lt; 0,60: observación descartada, repetir","")))))</f>
        <v/>
      </c>
    </row>
    <row r="224" customFormat="false" ht="15" hidden="false" customHeight="fals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7" t="str">
        <f aca="false">IF(N(E224)&gt;0,MIN(100,F224/E224*100),"")</f>
        <v/>
      </c>
      <c r="Y224" s="47" t="str">
        <f aca="false">IF(N(G224)&gt;0,MIN(100,H224/G224*100),"")</f>
        <v/>
      </c>
      <c r="Z224" s="47" t="str">
        <f aca="false">IF(N(I224)&gt;0,MIN(100,J224/I224*100),"")</f>
        <v/>
      </c>
      <c r="AA224" s="47" t="str">
        <f aca="false">IF(K224="","",K224/24*100)</f>
        <v/>
      </c>
      <c r="AB224" s="47" t="str">
        <f aca="false">IF(L224="","",L224/3*100)</f>
        <v/>
      </c>
      <c r="AC224" s="47" t="str">
        <f aca="false">IF(OR(M224="",AND(N224&lt;&gt;"",N(N224)&lt;Parámetros!$B$15)),"",MAX(0,MIN(100,(M224-1)/4*100)))</f>
        <v/>
      </c>
      <c r="AD224" s="47" t="str">
        <f aca="false">IF(OR(P224="",N(Q224)=0),"",MAX(0,MIN(100,((Q224/(Q224+Parámetros!$B$16))*P224+(Parámetros!$B$16/(Q224+Parámetros!$B$16))*Parámetros!$B$17-0.1)/0.4*100)))</f>
        <v/>
      </c>
      <c r="AE224" s="47" t="str">
        <f aca="false">IF(N(R224)&gt;0,MIN(100,S224/R224*100),"")</f>
        <v/>
      </c>
      <c r="AF224" s="47" t="str">
        <f aca="false">IF(N(U224)&gt;0,MIN(100,T224/(U224*5)*100),"")</f>
        <v/>
      </c>
      <c r="AG224" s="47" t="str">
        <f aca="false">IF(OR(V224="",N(W224)&lt;10),"",(V224-1)/4*100)</f>
        <v/>
      </c>
      <c r="AH224" s="47" t="str">
        <f aca="false">IF($C224="","",COUNT(X224:AG224))</f>
        <v/>
      </c>
      <c r="AI224" s="47" t="str">
        <f aca="false">IF(OR($C224="",N(AH224)&lt;Parámetros!$B$18),"",(IF(ISNUMBER(X224),X224*Parámetros!$B$2,0)+IF(ISNUMBER(Y224),Y224*Parámetros!$B$3,0)+IF(ISNUMBER(Z224),Z224*Parámetros!$B$4,0)+IF(ISNUMBER(AA224),AA224*Parámetros!$B$5,0)+IF(ISNUMBER(AB224),AB224*Parámetros!$B$6,0)+IF(ISNUMBER(AC224),AC224*Parámetros!$B$7,0)+IF(ISNUMBER(AD224),AD224*Parámetros!$B$8,0)+IF(ISNUMBER(AE224),AE224*Parámetros!$B$9,0)+IF(ISNUMBER(AF224),AF224*Parámetros!$B$10,0)+IF(ISNUMBER(AG224),AG224*Parámetros!$B$11,0))/(IF(ISNUMBER(X224),Parámetros!$B$2,0)+IF(ISNUMBER(Y224),Parámetros!$B$3,0)+IF(ISNUMBER(Z224),Parámetros!$B$4,0)+IF(ISNUMBER(AA224),Parámetros!$B$5,0)+IF(ISNUMBER(AB224),Parámetros!$B$6,0)+IF(ISNUMBER(AC224),Parámetros!$B$7,0)+IF(ISNUMBER(AD224),Parámetros!$B$8,0)+IF(ISNUMBER(AE224),Parámetros!$B$9,0)+IF(ISNUMBER(AF224),Parámetros!$B$10,0)+IF(ISNUMBER(AG224),Parámetros!$B$11,0)))</f>
        <v/>
      </c>
      <c r="AJ224" s="47" t="n">
        <f aca="false">IF(AND(ISNUMBER(Y224),N(Y224)&lt;60),69.9,IF(OR(AND(ISNUMBER(AE224),N(AE224)&lt;80),AND(ISNUMBER(AC224),N(AC224)&lt;50,N(O224)&gt;=2)),84.9,100))</f>
        <v>100</v>
      </c>
      <c r="AK224" s="47" t="str">
        <f aca="false">IF(AI224="","",MIN(AI224,AJ224))</f>
        <v/>
      </c>
      <c r="AL224" s="47" t="str">
        <f aca="false">IF($C224="","",IF(AK224="","Gris — menos de 3 fuentes",IF(AND(AK224&lt;Parámetros!$B$14,N224&lt;&gt;"",N(N224)&lt;Parámetros!$B$15,N(Y224)&gt;=60),"Gris — repetir observación",IF(AK224&gt;=Parámetros!$B$13,"Verde",IF(AK224&gt;=Parámetros!$B$14,"Amarillo","Rojo")))))</f>
        <v/>
      </c>
      <c r="AM224" s="47" t="str">
        <f aca="false">IF($C224="","",IF(AND(ISNUMBER(Y224),N(Y224)&lt;60),"Ejecución &lt; 60 %: rojo automático",IF(AND(ISNUMBER(AE224),N(AE224)&lt;80),"PIAR &lt; 80 %: máximo amarillo",IF(AND(ISNUMBER(AC224),N(AC224)&lt;50,N(O224)&gt;=2),"Observación &lt; 50: máximo amarillo",IF(AND(N224&lt;&gt;"",N(N224)&lt;Parámetros!$B$15),"κ &lt; 0,60: observación descartada, repetir","")))))</f>
        <v/>
      </c>
    </row>
    <row r="225" customFormat="false" ht="15" hidden="false" customHeight="fals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7" t="str">
        <f aca="false">IF(N(E225)&gt;0,MIN(100,F225/E225*100),"")</f>
        <v/>
      </c>
      <c r="Y225" s="47" t="str">
        <f aca="false">IF(N(G225)&gt;0,MIN(100,H225/G225*100),"")</f>
        <v/>
      </c>
      <c r="Z225" s="47" t="str">
        <f aca="false">IF(N(I225)&gt;0,MIN(100,J225/I225*100),"")</f>
        <v/>
      </c>
      <c r="AA225" s="47" t="str">
        <f aca="false">IF(K225="","",K225/24*100)</f>
        <v/>
      </c>
      <c r="AB225" s="47" t="str">
        <f aca="false">IF(L225="","",L225/3*100)</f>
        <v/>
      </c>
      <c r="AC225" s="47" t="str">
        <f aca="false">IF(OR(M225="",AND(N225&lt;&gt;"",N(N225)&lt;Parámetros!$B$15)),"",MAX(0,MIN(100,(M225-1)/4*100)))</f>
        <v/>
      </c>
      <c r="AD225" s="47" t="str">
        <f aca="false">IF(OR(P225="",N(Q225)=0),"",MAX(0,MIN(100,((Q225/(Q225+Parámetros!$B$16))*P225+(Parámetros!$B$16/(Q225+Parámetros!$B$16))*Parámetros!$B$17-0.1)/0.4*100)))</f>
        <v/>
      </c>
      <c r="AE225" s="47" t="str">
        <f aca="false">IF(N(R225)&gt;0,MIN(100,S225/R225*100),"")</f>
        <v/>
      </c>
      <c r="AF225" s="47" t="str">
        <f aca="false">IF(N(U225)&gt;0,MIN(100,T225/(U225*5)*100),"")</f>
        <v/>
      </c>
      <c r="AG225" s="47" t="str">
        <f aca="false">IF(OR(V225="",N(W225)&lt;10),"",(V225-1)/4*100)</f>
        <v/>
      </c>
      <c r="AH225" s="47" t="str">
        <f aca="false">IF($C225="","",COUNT(X225:AG225))</f>
        <v/>
      </c>
      <c r="AI225" s="47" t="str">
        <f aca="false">IF(OR($C225="",N(AH225)&lt;Parámetros!$B$18),"",(IF(ISNUMBER(X225),X225*Parámetros!$B$2,0)+IF(ISNUMBER(Y225),Y225*Parámetros!$B$3,0)+IF(ISNUMBER(Z225),Z225*Parámetros!$B$4,0)+IF(ISNUMBER(AA225),AA225*Parámetros!$B$5,0)+IF(ISNUMBER(AB225),AB225*Parámetros!$B$6,0)+IF(ISNUMBER(AC225),AC225*Parámetros!$B$7,0)+IF(ISNUMBER(AD225),AD225*Parámetros!$B$8,0)+IF(ISNUMBER(AE225),AE225*Parámetros!$B$9,0)+IF(ISNUMBER(AF225),AF225*Parámetros!$B$10,0)+IF(ISNUMBER(AG225),AG225*Parámetros!$B$11,0))/(IF(ISNUMBER(X225),Parámetros!$B$2,0)+IF(ISNUMBER(Y225),Parámetros!$B$3,0)+IF(ISNUMBER(Z225),Parámetros!$B$4,0)+IF(ISNUMBER(AA225),Parámetros!$B$5,0)+IF(ISNUMBER(AB225),Parámetros!$B$6,0)+IF(ISNUMBER(AC225),Parámetros!$B$7,0)+IF(ISNUMBER(AD225),Parámetros!$B$8,0)+IF(ISNUMBER(AE225),Parámetros!$B$9,0)+IF(ISNUMBER(AF225),Parámetros!$B$10,0)+IF(ISNUMBER(AG225),Parámetros!$B$11,0)))</f>
        <v/>
      </c>
      <c r="AJ225" s="47" t="n">
        <f aca="false">IF(AND(ISNUMBER(Y225),N(Y225)&lt;60),69.9,IF(OR(AND(ISNUMBER(AE225),N(AE225)&lt;80),AND(ISNUMBER(AC225),N(AC225)&lt;50,N(O225)&gt;=2)),84.9,100))</f>
        <v>100</v>
      </c>
      <c r="AK225" s="47" t="str">
        <f aca="false">IF(AI225="","",MIN(AI225,AJ225))</f>
        <v/>
      </c>
      <c r="AL225" s="47" t="str">
        <f aca="false">IF($C225="","",IF(AK225="","Gris — menos de 3 fuentes",IF(AND(AK225&lt;Parámetros!$B$14,N225&lt;&gt;"",N(N225)&lt;Parámetros!$B$15,N(Y225)&gt;=60),"Gris — repetir observación",IF(AK225&gt;=Parámetros!$B$13,"Verde",IF(AK225&gt;=Parámetros!$B$14,"Amarillo","Rojo")))))</f>
        <v/>
      </c>
      <c r="AM225" s="47" t="str">
        <f aca="false">IF($C225="","",IF(AND(ISNUMBER(Y225),N(Y225)&lt;60),"Ejecución &lt; 60 %: rojo automático",IF(AND(ISNUMBER(AE225),N(AE225)&lt;80),"PIAR &lt; 80 %: máximo amarillo",IF(AND(ISNUMBER(AC225),N(AC225)&lt;50,N(O225)&gt;=2),"Observación &lt; 50: máximo amarillo",IF(AND(N225&lt;&gt;"",N(N225)&lt;Parámetros!$B$15),"κ &lt; 0,60: observación descartada, repetir","")))))</f>
        <v/>
      </c>
    </row>
    <row r="226" customFormat="false" ht="15" hidden="false" customHeight="fals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7" t="str">
        <f aca="false">IF(N(E226)&gt;0,MIN(100,F226/E226*100),"")</f>
        <v/>
      </c>
      <c r="Y226" s="47" t="str">
        <f aca="false">IF(N(G226)&gt;0,MIN(100,H226/G226*100),"")</f>
        <v/>
      </c>
      <c r="Z226" s="47" t="str">
        <f aca="false">IF(N(I226)&gt;0,MIN(100,J226/I226*100),"")</f>
        <v/>
      </c>
      <c r="AA226" s="47" t="str">
        <f aca="false">IF(K226="","",K226/24*100)</f>
        <v/>
      </c>
      <c r="AB226" s="47" t="str">
        <f aca="false">IF(L226="","",L226/3*100)</f>
        <v/>
      </c>
      <c r="AC226" s="47" t="str">
        <f aca="false">IF(OR(M226="",AND(N226&lt;&gt;"",N(N226)&lt;Parámetros!$B$15)),"",MAX(0,MIN(100,(M226-1)/4*100)))</f>
        <v/>
      </c>
      <c r="AD226" s="47" t="str">
        <f aca="false">IF(OR(P226="",N(Q226)=0),"",MAX(0,MIN(100,((Q226/(Q226+Parámetros!$B$16))*P226+(Parámetros!$B$16/(Q226+Parámetros!$B$16))*Parámetros!$B$17-0.1)/0.4*100)))</f>
        <v/>
      </c>
      <c r="AE226" s="47" t="str">
        <f aca="false">IF(N(R226)&gt;0,MIN(100,S226/R226*100),"")</f>
        <v/>
      </c>
      <c r="AF226" s="47" t="str">
        <f aca="false">IF(N(U226)&gt;0,MIN(100,T226/(U226*5)*100),"")</f>
        <v/>
      </c>
      <c r="AG226" s="47" t="str">
        <f aca="false">IF(OR(V226="",N(W226)&lt;10),"",(V226-1)/4*100)</f>
        <v/>
      </c>
      <c r="AH226" s="47" t="str">
        <f aca="false">IF($C226="","",COUNT(X226:AG226))</f>
        <v/>
      </c>
      <c r="AI226" s="47" t="str">
        <f aca="false">IF(OR($C226="",N(AH226)&lt;Parámetros!$B$18),"",(IF(ISNUMBER(X226),X226*Parámetros!$B$2,0)+IF(ISNUMBER(Y226),Y226*Parámetros!$B$3,0)+IF(ISNUMBER(Z226),Z226*Parámetros!$B$4,0)+IF(ISNUMBER(AA226),AA226*Parámetros!$B$5,0)+IF(ISNUMBER(AB226),AB226*Parámetros!$B$6,0)+IF(ISNUMBER(AC226),AC226*Parámetros!$B$7,0)+IF(ISNUMBER(AD226),AD226*Parámetros!$B$8,0)+IF(ISNUMBER(AE226),AE226*Parámetros!$B$9,0)+IF(ISNUMBER(AF226),AF226*Parámetros!$B$10,0)+IF(ISNUMBER(AG226),AG226*Parámetros!$B$11,0))/(IF(ISNUMBER(X226),Parámetros!$B$2,0)+IF(ISNUMBER(Y226),Parámetros!$B$3,0)+IF(ISNUMBER(Z226),Parámetros!$B$4,0)+IF(ISNUMBER(AA226),Parámetros!$B$5,0)+IF(ISNUMBER(AB226),Parámetros!$B$6,0)+IF(ISNUMBER(AC226),Parámetros!$B$7,0)+IF(ISNUMBER(AD226),Parámetros!$B$8,0)+IF(ISNUMBER(AE226),Parámetros!$B$9,0)+IF(ISNUMBER(AF226),Parámetros!$B$10,0)+IF(ISNUMBER(AG226),Parámetros!$B$11,0)))</f>
        <v/>
      </c>
      <c r="AJ226" s="47" t="n">
        <f aca="false">IF(AND(ISNUMBER(Y226),N(Y226)&lt;60),69.9,IF(OR(AND(ISNUMBER(AE226),N(AE226)&lt;80),AND(ISNUMBER(AC226),N(AC226)&lt;50,N(O226)&gt;=2)),84.9,100))</f>
        <v>100</v>
      </c>
      <c r="AK226" s="47" t="str">
        <f aca="false">IF(AI226="","",MIN(AI226,AJ226))</f>
        <v/>
      </c>
      <c r="AL226" s="47" t="str">
        <f aca="false">IF($C226="","",IF(AK226="","Gris — menos de 3 fuentes",IF(AND(AK226&lt;Parámetros!$B$14,N226&lt;&gt;"",N(N226)&lt;Parámetros!$B$15,N(Y226)&gt;=60),"Gris — repetir observación",IF(AK226&gt;=Parámetros!$B$13,"Verde",IF(AK226&gt;=Parámetros!$B$14,"Amarillo","Rojo")))))</f>
        <v/>
      </c>
      <c r="AM226" s="47" t="str">
        <f aca="false">IF($C226="","",IF(AND(ISNUMBER(Y226),N(Y226)&lt;60),"Ejecución &lt; 60 %: rojo automático",IF(AND(ISNUMBER(AE226),N(AE226)&lt;80),"PIAR &lt; 80 %: máximo amarillo",IF(AND(ISNUMBER(AC226),N(AC226)&lt;50,N(O226)&gt;=2),"Observación &lt; 50: máximo amarillo",IF(AND(N226&lt;&gt;"",N(N226)&lt;Parámetros!$B$15),"κ &lt; 0,60: observación descartada, repetir","")))))</f>
        <v/>
      </c>
    </row>
    <row r="227" customFormat="false" ht="15" hidden="false" customHeight="fals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7" t="str">
        <f aca="false">IF(N(E227)&gt;0,MIN(100,F227/E227*100),"")</f>
        <v/>
      </c>
      <c r="Y227" s="47" t="str">
        <f aca="false">IF(N(G227)&gt;0,MIN(100,H227/G227*100),"")</f>
        <v/>
      </c>
      <c r="Z227" s="47" t="str">
        <f aca="false">IF(N(I227)&gt;0,MIN(100,J227/I227*100),"")</f>
        <v/>
      </c>
      <c r="AA227" s="47" t="str">
        <f aca="false">IF(K227="","",K227/24*100)</f>
        <v/>
      </c>
      <c r="AB227" s="47" t="str">
        <f aca="false">IF(L227="","",L227/3*100)</f>
        <v/>
      </c>
      <c r="AC227" s="47" t="str">
        <f aca="false">IF(OR(M227="",AND(N227&lt;&gt;"",N(N227)&lt;Parámetros!$B$15)),"",MAX(0,MIN(100,(M227-1)/4*100)))</f>
        <v/>
      </c>
      <c r="AD227" s="47" t="str">
        <f aca="false">IF(OR(P227="",N(Q227)=0),"",MAX(0,MIN(100,((Q227/(Q227+Parámetros!$B$16))*P227+(Parámetros!$B$16/(Q227+Parámetros!$B$16))*Parámetros!$B$17-0.1)/0.4*100)))</f>
        <v/>
      </c>
      <c r="AE227" s="47" t="str">
        <f aca="false">IF(N(R227)&gt;0,MIN(100,S227/R227*100),"")</f>
        <v/>
      </c>
      <c r="AF227" s="47" t="str">
        <f aca="false">IF(N(U227)&gt;0,MIN(100,T227/(U227*5)*100),"")</f>
        <v/>
      </c>
      <c r="AG227" s="47" t="str">
        <f aca="false">IF(OR(V227="",N(W227)&lt;10),"",(V227-1)/4*100)</f>
        <v/>
      </c>
      <c r="AH227" s="47" t="str">
        <f aca="false">IF($C227="","",COUNT(X227:AG227))</f>
        <v/>
      </c>
      <c r="AI227" s="47" t="str">
        <f aca="false">IF(OR($C227="",N(AH227)&lt;Parámetros!$B$18),"",(IF(ISNUMBER(X227),X227*Parámetros!$B$2,0)+IF(ISNUMBER(Y227),Y227*Parámetros!$B$3,0)+IF(ISNUMBER(Z227),Z227*Parámetros!$B$4,0)+IF(ISNUMBER(AA227),AA227*Parámetros!$B$5,0)+IF(ISNUMBER(AB227),AB227*Parámetros!$B$6,0)+IF(ISNUMBER(AC227),AC227*Parámetros!$B$7,0)+IF(ISNUMBER(AD227),AD227*Parámetros!$B$8,0)+IF(ISNUMBER(AE227),AE227*Parámetros!$B$9,0)+IF(ISNUMBER(AF227),AF227*Parámetros!$B$10,0)+IF(ISNUMBER(AG227),AG227*Parámetros!$B$11,0))/(IF(ISNUMBER(X227),Parámetros!$B$2,0)+IF(ISNUMBER(Y227),Parámetros!$B$3,0)+IF(ISNUMBER(Z227),Parámetros!$B$4,0)+IF(ISNUMBER(AA227),Parámetros!$B$5,0)+IF(ISNUMBER(AB227),Parámetros!$B$6,0)+IF(ISNUMBER(AC227),Parámetros!$B$7,0)+IF(ISNUMBER(AD227),Parámetros!$B$8,0)+IF(ISNUMBER(AE227),Parámetros!$B$9,0)+IF(ISNUMBER(AF227),Parámetros!$B$10,0)+IF(ISNUMBER(AG227),Parámetros!$B$11,0)))</f>
        <v/>
      </c>
      <c r="AJ227" s="47" t="n">
        <f aca="false">IF(AND(ISNUMBER(Y227),N(Y227)&lt;60),69.9,IF(OR(AND(ISNUMBER(AE227),N(AE227)&lt;80),AND(ISNUMBER(AC227),N(AC227)&lt;50,N(O227)&gt;=2)),84.9,100))</f>
        <v>100</v>
      </c>
      <c r="AK227" s="47" t="str">
        <f aca="false">IF(AI227="","",MIN(AI227,AJ227))</f>
        <v/>
      </c>
      <c r="AL227" s="47" t="str">
        <f aca="false">IF($C227="","",IF(AK227="","Gris — menos de 3 fuentes",IF(AND(AK227&lt;Parámetros!$B$14,N227&lt;&gt;"",N(N227)&lt;Parámetros!$B$15,N(Y227)&gt;=60),"Gris — repetir observación",IF(AK227&gt;=Parámetros!$B$13,"Verde",IF(AK227&gt;=Parámetros!$B$14,"Amarillo","Rojo")))))</f>
        <v/>
      </c>
      <c r="AM227" s="47" t="str">
        <f aca="false">IF($C227="","",IF(AND(ISNUMBER(Y227),N(Y227)&lt;60),"Ejecución &lt; 60 %: rojo automático",IF(AND(ISNUMBER(AE227),N(AE227)&lt;80),"PIAR &lt; 80 %: máximo amarillo",IF(AND(ISNUMBER(AC227),N(AC227)&lt;50,N(O227)&gt;=2),"Observación &lt; 50: máximo amarillo",IF(AND(N227&lt;&gt;"",N(N227)&lt;Parámetros!$B$15),"κ &lt; 0,60: observación descartada, repetir","")))))</f>
        <v/>
      </c>
    </row>
    <row r="228" customFormat="false" ht="15" hidden="false" customHeight="fals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7" t="str">
        <f aca="false">IF(N(E228)&gt;0,MIN(100,F228/E228*100),"")</f>
        <v/>
      </c>
      <c r="Y228" s="47" t="str">
        <f aca="false">IF(N(G228)&gt;0,MIN(100,H228/G228*100),"")</f>
        <v/>
      </c>
      <c r="Z228" s="47" t="str">
        <f aca="false">IF(N(I228)&gt;0,MIN(100,J228/I228*100),"")</f>
        <v/>
      </c>
      <c r="AA228" s="47" t="str">
        <f aca="false">IF(K228="","",K228/24*100)</f>
        <v/>
      </c>
      <c r="AB228" s="47" t="str">
        <f aca="false">IF(L228="","",L228/3*100)</f>
        <v/>
      </c>
      <c r="AC228" s="47" t="str">
        <f aca="false">IF(OR(M228="",AND(N228&lt;&gt;"",N(N228)&lt;Parámetros!$B$15)),"",MAX(0,MIN(100,(M228-1)/4*100)))</f>
        <v/>
      </c>
      <c r="AD228" s="47" t="str">
        <f aca="false">IF(OR(P228="",N(Q228)=0),"",MAX(0,MIN(100,((Q228/(Q228+Parámetros!$B$16))*P228+(Parámetros!$B$16/(Q228+Parámetros!$B$16))*Parámetros!$B$17-0.1)/0.4*100)))</f>
        <v/>
      </c>
      <c r="AE228" s="47" t="str">
        <f aca="false">IF(N(R228)&gt;0,MIN(100,S228/R228*100),"")</f>
        <v/>
      </c>
      <c r="AF228" s="47" t="str">
        <f aca="false">IF(N(U228)&gt;0,MIN(100,T228/(U228*5)*100),"")</f>
        <v/>
      </c>
      <c r="AG228" s="47" t="str">
        <f aca="false">IF(OR(V228="",N(W228)&lt;10),"",(V228-1)/4*100)</f>
        <v/>
      </c>
      <c r="AH228" s="47" t="str">
        <f aca="false">IF($C228="","",COUNT(X228:AG228))</f>
        <v/>
      </c>
      <c r="AI228" s="47" t="str">
        <f aca="false">IF(OR($C228="",N(AH228)&lt;Parámetros!$B$18),"",(IF(ISNUMBER(X228),X228*Parámetros!$B$2,0)+IF(ISNUMBER(Y228),Y228*Parámetros!$B$3,0)+IF(ISNUMBER(Z228),Z228*Parámetros!$B$4,0)+IF(ISNUMBER(AA228),AA228*Parámetros!$B$5,0)+IF(ISNUMBER(AB228),AB228*Parámetros!$B$6,0)+IF(ISNUMBER(AC228),AC228*Parámetros!$B$7,0)+IF(ISNUMBER(AD228),AD228*Parámetros!$B$8,0)+IF(ISNUMBER(AE228),AE228*Parámetros!$B$9,0)+IF(ISNUMBER(AF228),AF228*Parámetros!$B$10,0)+IF(ISNUMBER(AG228),AG228*Parámetros!$B$11,0))/(IF(ISNUMBER(X228),Parámetros!$B$2,0)+IF(ISNUMBER(Y228),Parámetros!$B$3,0)+IF(ISNUMBER(Z228),Parámetros!$B$4,0)+IF(ISNUMBER(AA228),Parámetros!$B$5,0)+IF(ISNUMBER(AB228),Parámetros!$B$6,0)+IF(ISNUMBER(AC228),Parámetros!$B$7,0)+IF(ISNUMBER(AD228),Parámetros!$B$8,0)+IF(ISNUMBER(AE228),Parámetros!$B$9,0)+IF(ISNUMBER(AF228),Parámetros!$B$10,0)+IF(ISNUMBER(AG228),Parámetros!$B$11,0)))</f>
        <v/>
      </c>
      <c r="AJ228" s="47" t="n">
        <f aca="false">IF(AND(ISNUMBER(Y228),N(Y228)&lt;60),69.9,IF(OR(AND(ISNUMBER(AE228),N(AE228)&lt;80),AND(ISNUMBER(AC228),N(AC228)&lt;50,N(O228)&gt;=2)),84.9,100))</f>
        <v>100</v>
      </c>
      <c r="AK228" s="47" t="str">
        <f aca="false">IF(AI228="","",MIN(AI228,AJ228))</f>
        <v/>
      </c>
      <c r="AL228" s="47" t="str">
        <f aca="false">IF($C228="","",IF(AK228="","Gris — menos de 3 fuentes",IF(AND(AK228&lt;Parámetros!$B$14,N228&lt;&gt;"",N(N228)&lt;Parámetros!$B$15,N(Y228)&gt;=60),"Gris — repetir observación",IF(AK228&gt;=Parámetros!$B$13,"Verde",IF(AK228&gt;=Parámetros!$B$14,"Amarillo","Rojo")))))</f>
        <v/>
      </c>
      <c r="AM228" s="47" t="str">
        <f aca="false">IF($C228="","",IF(AND(ISNUMBER(Y228),N(Y228)&lt;60),"Ejecución &lt; 60 %: rojo automático",IF(AND(ISNUMBER(AE228),N(AE228)&lt;80),"PIAR &lt; 80 %: máximo amarillo",IF(AND(ISNUMBER(AC228),N(AC228)&lt;50,N(O228)&gt;=2),"Observación &lt; 50: máximo amarillo",IF(AND(N228&lt;&gt;"",N(N228)&lt;Parámetros!$B$15),"κ &lt; 0,60: observación descartada, repetir","")))))</f>
        <v/>
      </c>
    </row>
    <row r="229" customFormat="false" ht="15" hidden="false" customHeight="fals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7" t="str">
        <f aca="false">IF(N(E229)&gt;0,MIN(100,F229/E229*100),"")</f>
        <v/>
      </c>
      <c r="Y229" s="47" t="str">
        <f aca="false">IF(N(G229)&gt;0,MIN(100,H229/G229*100),"")</f>
        <v/>
      </c>
      <c r="Z229" s="47" t="str">
        <f aca="false">IF(N(I229)&gt;0,MIN(100,J229/I229*100),"")</f>
        <v/>
      </c>
      <c r="AA229" s="47" t="str">
        <f aca="false">IF(K229="","",K229/24*100)</f>
        <v/>
      </c>
      <c r="AB229" s="47" t="str">
        <f aca="false">IF(L229="","",L229/3*100)</f>
        <v/>
      </c>
      <c r="AC229" s="47" t="str">
        <f aca="false">IF(OR(M229="",AND(N229&lt;&gt;"",N(N229)&lt;Parámetros!$B$15)),"",MAX(0,MIN(100,(M229-1)/4*100)))</f>
        <v/>
      </c>
      <c r="AD229" s="47" t="str">
        <f aca="false">IF(OR(P229="",N(Q229)=0),"",MAX(0,MIN(100,((Q229/(Q229+Parámetros!$B$16))*P229+(Parámetros!$B$16/(Q229+Parámetros!$B$16))*Parámetros!$B$17-0.1)/0.4*100)))</f>
        <v/>
      </c>
      <c r="AE229" s="47" t="str">
        <f aca="false">IF(N(R229)&gt;0,MIN(100,S229/R229*100),"")</f>
        <v/>
      </c>
      <c r="AF229" s="47" t="str">
        <f aca="false">IF(N(U229)&gt;0,MIN(100,T229/(U229*5)*100),"")</f>
        <v/>
      </c>
      <c r="AG229" s="47" t="str">
        <f aca="false">IF(OR(V229="",N(W229)&lt;10),"",(V229-1)/4*100)</f>
        <v/>
      </c>
      <c r="AH229" s="47" t="str">
        <f aca="false">IF($C229="","",COUNT(X229:AG229))</f>
        <v/>
      </c>
      <c r="AI229" s="47" t="str">
        <f aca="false">IF(OR($C229="",N(AH229)&lt;Parámetros!$B$18),"",(IF(ISNUMBER(X229),X229*Parámetros!$B$2,0)+IF(ISNUMBER(Y229),Y229*Parámetros!$B$3,0)+IF(ISNUMBER(Z229),Z229*Parámetros!$B$4,0)+IF(ISNUMBER(AA229),AA229*Parámetros!$B$5,0)+IF(ISNUMBER(AB229),AB229*Parámetros!$B$6,0)+IF(ISNUMBER(AC229),AC229*Parámetros!$B$7,0)+IF(ISNUMBER(AD229),AD229*Parámetros!$B$8,0)+IF(ISNUMBER(AE229),AE229*Parámetros!$B$9,0)+IF(ISNUMBER(AF229),AF229*Parámetros!$B$10,0)+IF(ISNUMBER(AG229),AG229*Parámetros!$B$11,0))/(IF(ISNUMBER(X229),Parámetros!$B$2,0)+IF(ISNUMBER(Y229),Parámetros!$B$3,0)+IF(ISNUMBER(Z229),Parámetros!$B$4,0)+IF(ISNUMBER(AA229),Parámetros!$B$5,0)+IF(ISNUMBER(AB229),Parámetros!$B$6,0)+IF(ISNUMBER(AC229),Parámetros!$B$7,0)+IF(ISNUMBER(AD229),Parámetros!$B$8,0)+IF(ISNUMBER(AE229),Parámetros!$B$9,0)+IF(ISNUMBER(AF229),Parámetros!$B$10,0)+IF(ISNUMBER(AG229),Parámetros!$B$11,0)))</f>
        <v/>
      </c>
      <c r="AJ229" s="47" t="n">
        <f aca="false">IF(AND(ISNUMBER(Y229),N(Y229)&lt;60),69.9,IF(OR(AND(ISNUMBER(AE229),N(AE229)&lt;80),AND(ISNUMBER(AC229),N(AC229)&lt;50,N(O229)&gt;=2)),84.9,100))</f>
        <v>100</v>
      </c>
      <c r="AK229" s="47" t="str">
        <f aca="false">IF(AI229="","",MIN(AI229,AJ229))</f>
        <v/>
      </c>
      <c r="AL229" s="47" t="str">
        <f aca="false">IF($C229="","",IF(AK229="","Gris — menos de 3 fuentes",IF(AND(AK229&lt;Parámetros!$B$14,N229&lt;&gt;"",N(N229)&lt;Parámetros!$B$15,N(Y229)&gt;=60),"Gris — repetir observación",IF(AK229&gt;=Parámetros!$B$13,"Verde",IF(AK229&gt;=Parámetros!$B$14,"Amarillo","Rojo")))))</f>
        <v/>
      </c>
      <c r="AM229" s="47" t="str">
        <f aca="false">IF($C229="","",IF(AND(ISNUMBER(Y229),N(Y229)&lt;60),"Ejecución &lt; 60 %: rojo automático",IF(AND(ISNUMBER(AE229),N(AE229)&lt;80),"PIAR &lt; 80 %: máximo amarillo",IF(AND(ISNUMBER(AC229),N(AC229)&lt;50,N(O229)&gt;=2),"Observación &lt; 50: máximo amarillo",IF(AND(N229&lt;&gt;"",N(N229)&lt;Parámetros!$B$15),"κ &lt; 0,60: observación descartada, repetir","")))))</f>
        <v/>
      </c>
    </row>
    <row r="230" customFormat="false" ht="15" hidden="false" customHeight="fals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7" t="str">
        <f aca="false">IF(N(E230)&gt;0,MIN(100,F230/E230*100),"")</f>
        <v/>
      </c>
      <c r="Y230" s="47" t="str">
        <f aca="false">IF(N(G230)&gt;0,MIN(100,H230/G230*100),"")</f>
        <v/>
      </c>
      <c r="Z230" s="47" t="str">
        <f aca="false">IF(N(I230)&gt;0,MIN(100,J230/I230*100),"")</f>
        <v/>
      </c>
      <c r="AA230" s="47" t="str">
        <f aca="false">IF(K230="","",K230/24*100)</f>
        <v/>
      </c>
      <c r="AB230" s="47" t="str">
        <f aca="false">IF(L230="","",L230/3*100)</f>
        <v/>
      </c>
      <c r="AC230" s="47" t="str">
        <f aca="false">IF(OR(M230="",AND(N230&lt;&gt;"",N(N230)&lt;Parámetros!$B$15)),"",MAX(0,MIN(100,(M230-1)/4*100)))</f>
        <v/>
      </c>
      <c r="AD230" s="47" t="str">
        <f aca="false">IF(OR(P230="",N(Q230)=0),"",MAX(0,MIN(100,((Q230/(Q230+Parámetros!$B$16))*P230+(Parámetros!$B$16/(Q230+Parámetros!$B$16))*Parámetros!$B$17-0.1)/0.4*100)))</f>
        <v/>
      </c>
      <c r="AE230" s="47" t="str">
        <f aca="false">IF(N(R230)&gt;0,MIN(100,S230/R230*100),"")</f>
        <v/>
      </c>
      <c r="AF230" s="47" t="str">
        <f aca="false">IF(N(U230)&gt;0,MIN(100,T230/(U230*5)*100),"")</f>
        <v/>
      </c>
      <c r="AG230" s="47" t="str">
        <f aca="false">IF(OR(V230="",N(W230)&lt;10),"",(V230-1)/4*100)</f>
        <v/>
      </c>
      <c r="AH230" s="47" t="str">
        <f aca="false">IF($C230="","",COUNT(X230:AG230))</f>
        <v/>
      </c>
      <c r="AI230" s="47" t="str">
        <f aca="false">IF(OR($C230="",N(AH230)&lt;Parámetros!$B$18),"",(IF(ISNUMBER(X230),X230*Parámetros!$B$2,0)+IF(ISNUMBER(Y230),Y230*Parámetros!$B$3,0)+IF(ISNUMBER(Z230),Z230*Parámetros!$B$4,0)+IF(ISNUMBER(AA230),AA230*Parámetros!$B$5,0)+IF(ISNUMBER(AB230),AB230*Parámetros!$B$6,0)+IF(ISNUMBER(AC230),AC230*Parámetros!$B$7,0)+IF(ISNUMBER(AD230),AD230*Parámetros!$B$8,0)+IF(ISNUMBER(AE230),AE230*Parámetros!$B$9,0)+IF(ISNUMBER(AF230),AF230*Parámetros!$B$10,0)+IF(ISNUMBER(AG230),AG230*Parámetros!$B$11,0))/(IF(ISNUMBER(X230),Parámetros!$B$2,0)+IF(ISNUMBER(Y230),Parámetros!$B$3,0)+IF(ISNUMBER(Z230),Parámetros!$B$4,0)+IF(ISNUMBER(AA230),Parámetros!$B$5,0)+IF(ISNUMBER(AB230),Parámetros!$B$6,0)+IF(ISNUMBER(AC230),Parámetros!$B$7,0)+IF(ISNUMBER(AD230),Parámetros!$B$8,0)+IF(ISNUMBER(AE230),Parámetros!$B$9,0)+IF(ISNUMBER(AF230),Parámetros!$B$10,0)+IF(ISNUMBER(AG230),Parámetros!$B$11,0)))</f>
        <v/>
      </c>
      <c r="AJ230" s="47" t="n">
        <f aca="false">IF(AND(ISNUMBER(Y230),N(Y230)&lt;60),69.9,IF(OR(AND(ISNUMBER(AE230),N(AE230)&lt;80),AND(ISNUMBER(AC230),N(AC230)&lt;50,N(O230)&gt;=2)),84.9,100))</f>
        <v>100</v>
      </c>
      <c r="AK230" s="47" t="str">
        <f aca="false">IF(AI230="","",MIN(AI230,AJ230))</f>
        <v/>
      </c>
      <c r="AL230" s="47" t="str">
        <f aca="false">IF($C230="","",IF(AK230="","Gris — menos de 3 fuentes",IF(AND(AK230&lt;Parámetros!$B$14,N230&lt;&gt;"",N(N230)&lt;Parámetros!$B$15,N(Y230)&gt;=60),"Gris — repetir observación",IF(AK230&gt;=Parámetros!$B$13,"Verde",IF(AK230&gt;=Parámetros!$B$14,"Amarillo","Rojo")))))</f>
        <v/>
      </c>
      <c r="AM230" s="47" t="str">
        <f aca="false">IF($C230="","",IF(AND(ISNUMBER(Y230),N(Y230)&lt;60),"Ejecución &lt; 60 %: rojo automático",IF(AND(ISNUMBER(AE230),N(AE230)&lt;80),"PIAR &lt; 80 %: máximo amarillo",IF(AND(ISNUMBER(AC230),N(AC230)&lt;50,N(O230)&gt;=2),"Observación &lt; 50: máximo amarillo",IF(AND(N230&lt;&gt;"",N(N230)&lt;Parámetros!$B$15),"κ &lt; 0,60: observación descartada, repetir","")))))</f>
        <v/>
      </c>
    </row>
    <row r="231" customFormat="false" ht="15" hidden="false" customHeight="fals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7" t="str">
        <f aca="false">IF(N(E231)&gt;0,MIN(100,F231/E231*100),"")</f>
        <v/>
      </c>
      <c r="Y231" s="47" t="str">
        <f aca="false">IF(N(G231)&gt;0,MIN(100,H231/G231*100),"")</f>
        <v/>
      </c>
      <c r="Z231" s="47" t="str">
        <f aca="false">IF(N(I231)&gt;0,MIN(100,J231/I231*100),"")</f>
        <v/>
      </c>
      <c r="AA231" s="47" t="str">
        <f aca="false">IF(K231="","",K231/24*100)</f>
        <v/>
      </c>
      <c r="AB231" s="47" t="str">
        <f aca="false">IF(L231="","",L231/3*100)</f>
        <v/>
      </c>
      <c r="AC231" s="47" t="str">
        <f aca="false">IF(OR(M231="",AND(N231&lt;&gt;"",N(N231)&lt;Parámetros!$B$15)),"",MAX(0,MIN(100,(M231-1)/4*100)))</f>
        <v/>
      </c>
      <c r="AD231" s="47" t="str">
        <f aca="false">IF(OR(P231="",N(Q231)=0),"",MAX(0,MIN(100,((Q231/(Q231+Parámetros!$B$16))*P231+(Parámetros!$B$16/(Q231+Parámetros!$B$16))*Parámetros!$B$17-0.1)/0.4*100)))</f>
        <v/>
      </c>
      <c r="AE231" s="47" t="str">
        <f aca="false">IF(N(R231)&gt;0,MIN(100,S231/R231*100),"")</f>
        <v/>
      </c>
      <c r="AF231" s="47" t="str">
        <f aca="false">IF(N(U231)&gt;0,MIN(100,T231/(U231*5)*100),"")</f>
        <v/>
      </c>
      <c r="AG231" s="47" t="str">
        <f aca="false">IF(OR(V231="",N(W231)&lt;10),"",(V231-1)/4*100)</f>
        <v/>
      </c>
      <c r="AH231" s="47" t="str">
        <f aca="false">IF($C231="","",COUNT(X231:AG231))</f>
        <v/>
      </c>
      <c r="AI231" s="47" t="str">
        <f aca="false">IF(OR($C231="",N(AH231)&lt;Parámetros!$B$18),"",(IF(ISNUMBER(X231),X231*Parámetros!$B$2,0)+IF(ISNUMBER(Y231),Y231*Parámetros!$B$3,0)+IF(ISNUMBER(Z231),Z231*Parámetros!$B$4,0)+IF(ISNUMBER(AA231),AA231*Parámetros!$B$5,0)+IF(ISNUMBER(AB231),AB231*Parámetros!$B$6,0)+IF(ISNUMBER(AC231),AC231*Parámetros!$B$7,0)+IF(ISNUMBER(AD231),AD231*Parámetros!$B$8,0)+IF(ISNUMBER(AE231),AE231*Parámetros!$B$9,0)+IF(ISNUMBER(AF231),AF231*Parámetros!$B$10,0)+IF(ISNUMBER(AG231),AG231*Parámetros!$B$11,0))/(IF(ISNUMBER(X231),Parámetros!$B$2,0)+IF(ISNUMBER(Y231),Parámetros!$B$3,0)+IF(ISNUMBER(Z231),Parámetros!$B$4,0)+IF(ISNUMBER(AA231),Parámetros!$B$5,0)+IF(ISNUMBER(AB231),Parámetros!$B$6,0)+IF(ISNUMBER(AC231),Parámetros!$B$7,0)+IF(ISNUMBER(AD231),Parámetros!$B$8,0)+IF(ISNUMBER(AE231),Parámetros!$B$9,0)+IF(ISNUMBER(AF231),Parámetros!$B$10,0)+IF(ISNUMBER(AG231),Parámetros!$B$11,0)))</f>
        <v/>
      </c>
      <c r="AJ231" s="47" t="n">
        <f aca="false">IF(AND(ISNUMBER(Y231),N(Y231)&lt;60),69.9,IF(OR(AND(ISNUMBER(AE231),N(AE231)&lt;80),AND(ISNUMBER(AC231),N(AC231)&lt;50,N(O231)&gt;=2)),84.9,100))</f>
        <v>100</v>
      </c>
      <c r="AK231" s="47" t="str">
        <f aca="false">IF(AI231="","",MIN(AI231,AJ231))</f>
        <v/>
      </c>
      <c r="AL231" s="47" t="str">
        <f aca="false">IF($C231="","",IF(AK231="","Gris — menos de 3 fuentes",IF(AND(AK231&lt;Parámetros!$B$14,N231&lt;&gt;"",N(N231)&lt;Parámetros!$B$15,N(Y231)&gt;=60),"Gris — repetir observación",IF(AK231&gt;=Parámetros!$B$13,"Verde",IF(AK231&gt;=Parámetros!$B$14,"Amarillo","Rojo")))))</f>
        <v/>
      </c>
      <c r="AM231" s="47" t="str">
        <f aca="false">IF($C231="","",IF(AND(ISNUMBER(Y231),N(Y231)&lt;60),"Ejecución &lt; 60 %: rojo automático",IF(AND(ISNUMBER(AE231),N(AE231)&lt;80),"PIAR &lt; 80 %: máximo amarillo",IF(AND(ISNUMBER(AC231),N(AC231)&lt;50,N(O231)&gt;=2),"Observación &lt; 50: máximo amarillo",IF(AND(N231&lt;&gt;"",N(N231)&lt;Parámetros!$B$15),"κ &lt; 0,60: observación descartada, repetir","")))))</f>
        <v/>
      </c>
    </row>
    <row r="232" customFormat="false" ht="15" hidden="false" customHeight="fals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7" t="str">
        <f aca="false">IF(N(E232)&gt;0,MIN(100,F232/E232*100),"")</f>
        <v/>
      </c>
      <c r="Y232" s="47" t="str">
        <f aca="false">IF(N(G232)&gt;0,MIN(100,H232/G232*100),"")</f>
        <v/>
      </c>
      <c r="Z232" s="47" t="str">
        <f aca="false">IF(N(I232)&gt;0,MIN(100,J232/I232*100),"")</f>
        <v/>
      </c>
      <c r="AA232" s="47" t="str">
        <f aca="false">IF(K232="","",K232/24*100)</f>
        <v/>
      </c>
      <c r="AB232" s="47" t="str">
        <f aca="false">IF(L232="","",L232/3*100)</f>
        <v/>
      </c>
      <c r="AC232" s="47" t="str">
        <f aca="false">IF(OR(M232="",AND(N232&lt;&gt;"",N(N232)&lt;Parámetros!$B$15)),"",MAX(0,MIN(100,(M232-1)/4*100)))</f>
        <v/>
      </c>
      <c r="AD232" s="47" t="str">
        <f aca="false">IF(OR(P232="",N(Q232)=0),"",MAX(0,MIN(100,((Q232/(Q232+Parámetros!$B$16))*P232+(Parámetros!$B$16/(Q232+Parámetros!$B$16))*Parámetros!$B$17-0.1)/0.4*100)))</f>
        <v/>
      </c>
      <c r="AE232" s="47" t="str">
        <f aca="false">IF(N(R232)&gt;0,MIN(100,S232/R232*100),"")</f>
        <v/>
      </c>
      <c r="AF232" s="47" t="str">
        <f aca="false">IF(N(U232)&gt;0,MIN(100,T232/(U232*5)*100),"")</f>
        <v/>
      </c>
      <c r="AG232" s="47" t="str">
        <f aca="false">IF(OR(V232="",N(W232)&lt;10),"",(V232-1)/4*100)</f>
        <v/>
      </c>
      <c r="AH232" s="47" t="str">
        <f aca="false">IF($C232="","",COUNT(X232:AG232))</f>
        <v/>
      </c>
      <c r="AI232" s="47" t="str">
        <f aca="false">IF(OR($C232="",N(AH232)&lt;Parámetros!$B$18),"",(IF(ISNUMBER(X232),X232*Parámetros!$B$2,0)+IF(ISNUMBER(Y232),Y232*Parámetros!$B$3,0)+IF(ISNUMBER(Z232),Z232*Parámetros!$B$4,0)+IF(ISNUMBER(AA232),AA232*Parámetros!$B$5,0)+IF(ISNUMBER(AB232),AB232*Parámetros!$B$6,0)+IF(ISNUMBER(AC232),AC232*Parámetros!$B$7,0)+IF(ISNUMBER(AD232),AD232*Parámetros!$B$8,0)+IF(ISNUMBER(AE232),AE232*Parámetros!$B$9,0)+IF(ISNUMBER(AF232),AF232*Parámetros!$B$10,0)+IF(ISNUMBER(AG232),AG232*Parámetros!$B$11,0))/(IF(ISNUMBER(X232),Parámetros!$B$2,0)+IF(ISNUMBER(Y232),Parámetros!$B$3,0)+IF(ISNUMBER(Z232),Parámetros!$B$4,0)+IF(ISNUMBER(AA232),Parámetros!$B$5,0)+IF(ISNUMBER(AB232),Parámetros!$B$6,0)+IF(ISNUMBER(AC232),Parámetros!$B$7,0)+IF(ISNUMBER(AD232),Parámetros!$B$8,0)+IF(ISNUMBER(AE232),Parámetros!$B$9,0)+IF(ISNUMBER(AF232),Parámetros!$B$10,0)+IF(ISNUMBER(AG232),Parámetros!$B$11,0)))</f>
        <v/>
      </c>
      <c r="AJ232" s="47" t="n">
        <f aca="false">IF(AND(ISNUMBER(Y232),N(Y232)&lt;60),69.9,IF(OR(AND(ISNUMBER(AE232),N(AE232)&lt;80),AND(ISNUMBER(AC232),N(AC232)&lt;50,N(O232)&gt;=2)),84.9,100))</f>
        <v>100</v>
      </c>
      <c r="AK232" s="47" t="str">
        <f aca="false">IF(AI232="","",MIN(AI232,AJ232))</f>
        <v/>
      </c>
      <c r="AL232" s="47" t="str">
        <f aca="false">IF($C232="","",IF(AK232="","Gris — menos de 3 fuentes",IF(AND(AK232&lt;Parámetros!$B$14,N232&lt;&gt;"",N(N232)&lt;Parámetros!$B$15,N(Y232)&gt;=60),"Gris — repetir observación",IF(AK232&gt;=Parámetros!$B$13,"Verde",IF(AK232&gt;=Parámetros!$B$14,"Amarillo","Rojo")))))</f>
        <v/>
      </c>
      <c r="AM232" s="47" t="str">
        <f aca="false">IF($C232="","",IF(AND(ISNUMBER(Y232),N(Y232)&lt;60),"Ejecución &lt; 60 %: rojo automático",IF(AND(ISNUMBER(AE232),N(AE232)&lt;80),"PIAR &lt; 80 %: máximo amarillo",IF(AND(ISNUMBER(AC232),N(AC232)&lt;50,N(O232)&gt;=2),"Observación &lt; 50: máximo amarillo",IF(AND(N232&lt;&gt;"",N(N232)&lt;Parámetros!$B$15),"κ &lt; 0,60: observación descartada, repetir","")))))</f>
        <v/>
      </c>
    </row>
    <row r="233" customFormat="false" ht="15" hidden="false" customHeight="fals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7" t="str">
        <f aca="false">IF(N(E233)&gt;0,MIN(100,F233/E233*100),"")</f>
        <v/>
      </c>
      <c r="Y233" s="47" t="str">
        <f aca="false">IF(N(G233)&gt;0,MIN(100,H233/G233*100),"")</f>
        <v/>
      </c>
      <c r="Z233" s="47" t="str">
        <f aca="false">IF(N(I233)&gt;0,MIN(100,J233/I233*100),"")</f>
        <v/>
      </c>
      <c r="AA233" s="47" t="str">
        <f aca="false">IF(K233="","",K233/24*100)</f>
        <v/>
      </c>
      <c r="AB233" s="47" t="str">
        <f aca="false">IF(L233="","",L233/3*100)</f>
        <v/>
      </c>
      <c r="AC233" s="47" t="str">
        <f aca="false">IF(OR(M233="",AND(N233&lt;&gt;"",N(N233)&lt;Parámetros!$B$15)),"",MAX(0,MIN(100,(M233-1)/4*100)))</f>
        <v/>
      </c>
      <c r="AD233" s="47" t="str">
        <f aca="false">IF(OR(P233="",N(Q233)=0),"",MAX(0,MIN(100,((Q233/(Q233+Parámetros!$B$16))*P233+(Parámetros!$B$16/(Q233+Parámetros!$B$16))*Parámetros!$B$17-0.1)/0.4*100)))</f>
        <v/>
      </c>
      <c r="AE233" s="47" t="str">
        <f aca="false">IF(N(R233)&gt;0,MIN(100,S233/R233*100),"")</f>
        <v/>
      </c>
      <c r="AF233" s="47" t="str">
        <f aca="false">IF(N(U233)&gt;0,MIN(100,T233/(U233*5)*100),"")</f>
        <v/>
      </c>
      <c r="AG233" s="47" t="str">
        <f aca="false">IF(OR(V233="",N(W233)&lt;10),"",(V233-1)/4*100)</f>
        <v/>
      </c>
      <c r="AH233" s="47" t="str">
        <f aca="false">IF($C233="","",COUNT(X233:AG233))</f>
        <v/>
      </c>
      <c r="AI233" s="47" t="str">
        <f aca="false">IF(OR($C233="",N(AH233)&lt;Parámetros!$B$18),"",(IF(ISNUMBER(X233),X233*Parámetros!$B$2,0)+IF(ISNUMBER(Y233),Y233*Parámetros!$B$3,0)+IF(ISNUMBER(Z233),Z233*Parámetros!$B$4,0)+IF(ISNUMBER(AA233),AA233*Parámetros!$B$5,0)+IF(ISNUMBER(AB233),AB233*Parámetros!$B$6,0)+IF(ISNUMBER(AC233),AC233*Parámetros!$B$7,0)+IF(ISNUMBER(AD233),AD233*Parámetros!$B$8,0)+IF(ISNUMBER(AE233),AE233*Parámetros!$B$9,0)+IF(ISNUMBER(AF233),AF233*Parámetros!$B$10,0)+IF(ISNUMBER(AG233),AG233*Parámetros!$B$11,0))/(IF(ISNUMBER(X233),Parámetros!$B$2,0)+IF(ISNUMBER(Y233),Parámetros!$B$3,0)+IF(ISNUMBER(Z233),Parámetros!$B$4,0)+IF(ISNUMBER(AA233),Parámetros!$B$5,0)+IF(ISNUMBER(AB233),Parámetros!$B$6,0)+IF(ISNUMBER(AC233),Parámetros!$B$7,0)+IF(ISNUMBER(AD233),Parámetros!$B$8,0)+IF(ISNUMBER(AE233),Parámetros!$B$9,0)+IF(ISNUMBER(AF233),Parámetros!$B$10,0)+IF(ISNUMBER(AG233),Parámetros!$B$11,0)))</f>
        <v/>
      </c>
      <c r="AJ233" s="47" t="n">
        <f aca="false">IF(AND(ISNUMBER(Y233),N(Y233)&lt;60),69.9,IF(OR(AND(ISNUMBER(AE233),N(AE233)&lt;80),AND(ISNUMBER(AC233),N(AC233)&lt;50,N(O233)&gt;=2)),84.9,100))</f>
        <v>100</v>
      </c>
      <c r="AK233" s="47" t="str">
        <f aca="false">IF(AI233="","",MIN(AI233,AJ233))</f>
        <v/>
      </c>
      <c r="AL233" s="47" t="str">
        <f aca="false">IF($C233="","",IF(AK233="","Gris — menos de 3 fuentes",IF(AND(AK233&lt;Parámetros!$B$14,N233&lt;&gt;"",N(N233)&lt;Parámetros!$B$15,N(Y233)&gt;=60),"Gris — repetir observación",IF(AK233&gt;=Parámetros!$B$13,"Verde",IF(AK233&gt;=Parámetros!$B$14,"Amarillo","Rojo")))))</f>
        <v/>
      </c>
      <c r="AM233" s="47" t="str">
        <f aca="false">IF($C233="","",IF(AND(ISNUMBER(Y233),N(Y233)&lt;60),"Ejecución &lt; 60 %: rojo automático",IF(AND(ISNUMBER(AE233),N(AE233)&lt;80),"PIAR &lt; 80 %: máximo amarillo",IF(AND(ISNUMBER(AC233),N(AC233)&lt;50,N(O233)&gt;=2),"Observación &lt; 50: máximo amarillo",IF(AND(N233&lt;&gt;"",N(N233)&lt;Parámetros!$B$15),"κ &lt; 0,60: observación descartada, repetir","")))))</f>
        <v/>
      </c>
    </row>
    <row r="234" customFormat="false" ht="15" hidden="false" customHeight="fals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7" t="str">
        <f aca="false">IF(N(E234)&gt;0,MIN(100,F234/E234*100),"")</f>
        <v/>
      </c>
      <c r="Y234" s="47" t="str">
        <f aca="false">IF(N(G234)&gt;0,MIN(100,H234/G234*100),"")</f>
        <v/>
      </c>
      <c r="Z234" s="47" t="str">
        <f aca="false">IF(N(I234)&gt;0,MIN(100,J234/I234*100),"")</f>
        <v/>
      </c>
      <c r="AA234" s="47" t="str">
        <f aca="false">IF(K234="","",K234/24*100)</f>
        <v/>
      </c>
      <c r="AB234" s="47" t="str">
        <f aca="false">IF(L234="","",L234/3*100)</f>
        <v/>
      </c>
      <c r="AC234" s="47" t="str">
        <f aca="false">IF(OR(M234="",AND(N234&lt;&gt;"",N(N234)&lt;Parámetros!$B$15)),"",MAX(0,MIN(100,(M234-1)/4*100)))</f>
        <v/>
      </c>
      <c r="AD234" s="47" t="str">
        <f aca="false">IF(OR(P234="",N(Q234)=0),"",MAX(0,MIN(100,((Q234/(Q234+Parámetros!$B$16))*P234+(Parámetros!$B$16/(Q234+Parámetros!$B$16))*Parámetros!$B$17-0.1)/0.4*100)))</f>
        <v/>
      </c>
      <c r="AE234" s="47" t="str">
        <f aca="false">IF(N(R234)&gt;0,MIN(100,S234/R234*100),"")</f>
        <v/>
      </c>
      <c r="AF234" s="47" t="str">
        <f aca="false">IF(N(U234)&gt;0,MIN(100,T234/(U234*5)*100),"")</f>
        <v/>
      </c>
      <c r="AG234" s="47" t="str">
        <f aca="false">IF(OR(V234="",N(W234)&lt;10),"",(V234-1)/4*100)</f>
        <v/>
      </c>
      <c r="AH234" s="47" t="str">
        <f aca="false">IF($C234="","",COUNT(X234:AG234))</f>
        <v/>
      </c>
      <c r="AI234" s="47" t="str">
        <f aca="false">IF(OR($C234="",N(AH234)&lt;Parámetros!$B$18),"",(IF(ISNUMBER(X234),X234*Parámetros!$B$2,0)+IF(ISNUMBER(Y234),Y234*Parámetros!$B$3,0)+IF(ISNUMBER(Z234),Z234*Parámetros!$B$4,0)+IF(ISNUMBER(AA234),AA234*Parámetros!$B$5,0)+IF(ISNUMBER(AB234),AB234*Parámetros!$B$6,0)+IF(ISNUMBER(AC234),AC234*Parámetros!$B$7,0)+IF(ISNUMBER(AD234),AD234*Parámetros!$B$8,0)+IF(ISNUMBER(AE234),AE234*Parámetros!$B$9,0)+IF(ISNUMBER(AF234),AF234*Parámetros!$B$10,0)+IF(ISNUMBER(AG234),AG234*Parámetros!$B$11,0))/(IF(ISNUMBER(X234),Parámetros!$B$2,0)+IF(ISNUMBER(Y234),Parámetros!$B$3,0)+IF(ISNUMBER(Z234),Parámetros!$B$4,0)+IF(ISNUMBER(AA234),Parámetros!$B$5,0)+IF(ISNUMBER(AB234),Parámetros!$B$6,0)+IF(ISNUMBER(AC234),Parámetros!$B$7,0)+IF(ISNUMBER(AD234),Parámetros!$B$8,0)+IF(ISNUMBER(AE234),Parámetros!$B$9,0)+IF(ISNUMBER(AF234),Parámetros!$B$10,0)+IF(ISNUMBER(AG234),Parámetros!$B$11,0)))</f>
        <v/>
      </c>
      <c r="AJ234" s="47" t="n">
        <f aca="false">IF(AND(ISNUMBER(Y234),N(Y234)&lt;60),69.9,IF(OR(AND(ISNUMBER(AE234),N(AE234)&lt;80),AND(ISNUMBER(AC234),N(AC234)&lt;50,N(O234)&gt;=2)),84.9,100))</f>
        <v>100</v>
      </c>
      <c r="AK234" s="47" t="str">
        <f aca="false">IF(AI234="","",MIN(AI234,AJ234))</f>
        <v/>
      </c>
      <c r="AL234" s="47" t="str">
        <f aca="false">IF($C234="","",IF(AK234="","Gris — menos de 3 fuentes",IF(AND(AK234&lt;Parámetros!$B$14,N234&lt;&gt;"",N(N234)&lt;Parámetros!$B$15,N(Y234)&gt;=60),"Gris — repetir observación",IF(AK234&gt;=Parámetros!$B$13,"Verde",IF(AK234&gt;=Parámetros!$B$14,"Amarillo","Rojo")))))</f>
        <v/>
      </c>
      <c r="AM234" s="47" t="str">
        <f aca="false">IF($C234="","",IF(AND(ISNUMBER(Y234),N(Y234)&lt;60),"Ejecución &lt; 60 %: rojo automático",IF(AND(ISNUMBER(AE234),N(AE234)&lt;80),"PIAR &lt; 80 %: máximo amarillo",IF(AND(ISNUMBER(AC234),N(AC234)&lt;50,N(O234)&gt;=2),"Observación &lt; 50: máximo amarillo",IF(AND(N234&lt;&gt;"",N(N234)&lt;Parámetros!$B$15),"κ &lt; 0,60: observación descartada, repetir","")))))</f>
        <v/>
      </c>
    </row>
    <row r="235" customFormat="false" ht="15" hidden="false" customHeight="fals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7" t="str">
        <f aca="false">IF(N(E235)&gt;0,MIN(100,F235/E235*100),"")</f>
        <v/>
      </c>
      <c r="Y235" s="47" t="str">
        <f aca="false">IF(N(G235)&gt;0,MIN(100,H235/G235*100),"")</f>
        <v/>
      </c>
      <c r="Z235" s="47" t="str">
        <f aca="false">IF(N(I235)&gt;0,MIN(100,J235/I235*100),"")</f>
        <v/>
      </c>
      <c r="AA235" s="47" t="str">
        <f aca="false">IF(K235="","",K235/24*100)</f>
        <v/>
      </c>
      <c r="AB235" s="47" t="str">
        <f aca="false">IF(L235="","",L235/3*100)</f>
        <v/>
      </c>
      <c r="AC235" s="47" t="str">
        <f aca="false">IF(OR(M235="",AND(N235&lt;&gt;"",N(N235)&lt;Parámetros!$B$15)),"",MAX(0,MIN(100,(M235-1)/4*100)))</f>
        <v/>
      </c>
      <c r="AD235" s="47" t="str">
        <f aca="false">IF(OR(P235="",N(Q235)=0),"",MAX(0,MIN(100,((Q235/(Q235+Parámetros!$B$16))*P235+(Parámetros!$B$16/(Q235+Parámetros!$B$16))*Parámetros!$B$17-0.1)/0.4*100)))</f>
        <v/>
      </c>
      <c r="AE235" s="47" t="str">
        <f aca="false">IF(N(R235)&gt;0,MIN(100,S235/R235*100),"")</f>
        <v/>
      </c>
      <c r="AF235" s="47" t="str">
        <f aca="false">IF(N(U235)&gt;0,MIN(100,T235/(U235*5)*100),"")</f>
        <v/>
      </c>
      <c r="AG235" s="47" t="str">
        <f aca="false">IF(OR(V235="",N(W235)&lt;10),"",(V235-1)/4*100)</f>
        <v/>
      </c>
      <c r="AH235" s="47" t="str">
        <f aca="false">IF($C235="","",COUNT(X235:AG235))</f>
        <v/>
      </c>
      <c r="AI235" s="47" t="str">
        <f aca="false">IF(OR($C235="",N(AH235)&lt;Parámetros!$B$18),"",(IF(ISNUMBER(X235),X235*Parámetros!$B$2,0)+IF(ISNUMBER(Y235),Y235*Parámetros!$B$3,0)+IF(ISNUMBER(Z235),Z235*Parámetros!$B$4,0)+IF(ISNUMBER(AA235),AA235*Parámetros!$B$5,0)+IF(ISNUMBER(AB235),AB235*Parámetros!$B$6,0)+IF(ISNUMBER(AC235),AC235*Parámetros!$B$7,0)+IF(ISNUMBER(AD235),AD235*Parámetros!$B$8,0)+IF(ISNUMBER(AE235),AE235*Parámetros!$B$9,0)+IF(ISNUMBER(AF235),AF235*Parámetros!$B$10,0)+IF(ISNUMBER(AG235),AG235*Parámetros!$B$11,0))/(IF(ISNUMBER(X235),Parámetros!$B$2,0)+IF(ISNUMBER(Y235),Parámetros!$B$3,0)+IF(ISNUMBER(Z235),Parámetros!$B$4,0)+IF(ISNUMBER(AA235),Parámetros!$B$5,0)+IF(ISNUMBER(AB235),Parámetros!$B$6,0)+IF(ISNUMBER(AC235),Parámetros!$B$7,0)+IF(ISNUMBER(AD235),Parámetros!$B$8,0)+IF(ISNUMBER(AE235),Parámetros!$B$9,0)+IF(ISNUMBER(AF235),Parámetros!$B$10,0)+IF(ISNUMBER(AG235),Parámetros!$B$11,0)))</f>
        <v/>
      </c>
      <c r="AJ235" s="47" t="n">
        <f aca="false">IF(AND(ISNUMBER(Y235),N(Y235)&lt;60),69.9,IF(OR(AND(ISNUMBER(AE235),N(AE235)&lt;80),AND(ISNUMBER(AC235),N(AC235)&lt;50,N(O235)&gt;=2)),84.9,100))</f>
        <v>100</v>
      </c>
      <c r="AK235" s="47" t="str">
        <f aca="false">IF(AI235="","",MIN(AI235,AJ235))</f>
        <v/>
      </c>
      <c r="AL235" s="47" t="str">
        <f aca="false">IF($C235="","",IF(AK235="","Gris — menos de 3 fuentes",IF(AND(AK235&lt;Parámetros!$B$14,N235&lt;&gt;"",N(N235)&lt;Parámetros!$B$15,N(Y235)&gt;=60),"Gris — repetir observación",IF(AK235&gt;=Parámetros!$B$13,"Verde",IF(AK235&gt;=Parámetros!$B$14,"Amarillo","Rojo")))))</f>
        <v/>
      </c>
      <c r="AM235" s="47" t="str">
        <f aca="false">IF($C235="","",IF(AND(ISNUMBER(Y235),N(Y235)&lt;60),"Ejecución &lt; 60 %: rojo automático",IF(AND(ISNUMBER(AE235),N(AE235)&lt;80),"PIAR &lt; 80 %: máximo amarillo",IF(AND(ISNUMBER(AC235),N(AC235)&lt;50,N(O235)&gt;=2),"Observación &lt; 50: máximo amarillo",IF(AND(N235&lt;&gt;"",N(N235)&lt;Parámetros!$B$15),"κ &lt; 0,60: observación descartada, repetir","")))))</f>
        <v/>
      </c>
    </row>
    <row r="236" customFormat="false" ht="15" hidden="false" customHeight="fals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7" t="str">
        <f aca="false">IF(N(E236)&gt;0,MIN(100,F236/E236*100),"")</f>
        <v/>
      </c>
      <c r="Y236" s="47" t="str">
        <f aca="false">IF(N(G236)&gt;0,MIN(100,H236/G236*100),"")</f>
        <v/>
      </c>
      <c r="Z236" s="47" t="str">
        <f aca="false">IF(N(I236)&gt;0,MIN(100,J236/I236*100),"")</f>
        <v/>
      </c>
      <c r="AA236" s="47" t="str">
        <f aca="false">IF(K236="","",K236/24*100)</f>
        <v/>
      </c>
      <c r="AB236" s="47" t="str">
        <f aca="false">IF(L236="","",L236/3*100)</f>
        <v/>
      </c>
      <c r="AC236" s="47" t="str">
        <f aca="false">IF(OR(M236="",AND(N236&lt;&gt;"",N(N236)&lt;Parámetros!$B$15)),"",MAX(0,MIN(100,(M236-1)/4*100)))</f>
        <v/>
      </c>
      <c r="AD236" s="47" t="str">
        <f aca="false">IF(OR(P236="",N(Q236)=0),"",MAX(0,MIN(100,((Q236/(Q236+Parámetros!$B$16))*P236+(Parámetros!$B$16/(Q236+Parámetros!$B$16))*Parámetros!$B$17-0.1)/0.4*100)))</f>
        <v/>
      </c>
      <c r="AE236" s="47" t="str">
        <f aca="false">IF(N(R236)&gt;0,MIN(100,S236/R236*100),"")</f>
        <v/>
      </c>
      <c r="AF236" s="47" t="str">
        <f aca="false">IF(N(U236)&gt;0,MIN(100,T236/(U236*5)*100),"")</f>
        <v/>
      </c>
      <c r="AG236" s="47" t="str">
        <f aca="false">IF(OR(V236="",N(W236)&lt;10),"",(V236-1)/4*100)</f>
        <v/>
      </c>
      <c r="AH236" s="47" t="str">
        <f aca="false">IF($C236="","",COUNT(X236:AG236))</f>
        <v/>
      </c>
      <c r="AI236" s="47" t="str">
        <f aca="false">IF(OR($C236="",N(AH236)&lt;Parámetros!$B$18),"",(IF(ISNUMBER(X236),X236*Parámetros!$B$2,0)+IF(ISNUMBER(Y236),Y236*Parámetros!$B$3,0)+IF(ISNUMBER(Z236),Z236*Parámetros!$B$4,0)+IF(ISNUMBER(AA236),AA236*Parámetros!$B$5,0)+IF(ISNUMBER(AB236),AB236*Parámetros!$B$6,0)+IF(ISNUMBER(AC236),AC236*Parámetros!$B$7,0)+IF(ISNUMBER(AD236),AD236*Parámetros!$B$8,0)+IF(ISNUMBER(AE236),AE236*Parámetros!$B$9,0)+IF(ISNUMBER(AF236),AF236*Parámetros!$B$10,0)+IF(ISNUMBER(AG236),AG236*Parámetros!$B$11,0))/(IF(ISNUMBER(X236),Parámetros!$B$2,0)+IF(ISNUMBER(Y236),Parámetros!$B$3,0)+IF(ISNUMBER(Z236),Parámetros!$B$4,0)+IF(ISNUMBER(AA236),Parámetros!$B$5,0)+IF(ISNUMBER(AB236),Parámetros!$B$6,0)+IF(ISNUMBER(AC236),Parámetros!$B$7,0)+IF(ISNUMBER(AD236),Parámetros!$B$8,0)+IF(ISNUMBER(AE236),Parámetros!$B$9,0)+IF(ISNUMBER(AF236),Parámetros!$B$10,0)+IF(ISNUMBER(AG236),Parámetros!$B$11,0)))</f>
        <v/>
      </c>
      <c r="AJ236" s="47" t="n">
        <f aca="false">IF(AND(ISNUMBER(Y236),N(Y236)&lt;60),69.9,IF(OR(AND(ISNUMBER(AE236),N(AE236)&lt;80),AND(ISNUMBER(AC236),N(AC236)&lt;50,N(O236)&gt;=2)),84.9,100))</f>
        <v>100</v>
      </c>
      <c r="AK236" s="47" t="str">
        <f aca="false">IF(AI236="","",MIN(AI236,AJ236))</f>
        <v/>
      </c>
      <c r="AL236" s="47" t="str">
        <f aca="false">IF($C236="","",IF(AK236="","Gris — menos de 3 fuentes",IF(AND(AK236&lt;Parámetros!$B$14,N236&lt;&gt;"",N(N236)&lt;Parámetros!$B$15,N(Y236)&gt;=60),"Gris — repetir observación",IF(AK236&gt;=Parámetros!$B$13,"Verde",IF(AK236&gt;=Parámetros!$B$14,"Amarillo","Rojo")))))</f>
        <v/>
      </c>
      <c r="AM236" s="47" t="str">
        <f aca="false">IF($C236="","",IF(AND(ISNUMBER(Y236),N(Y236)&lt;60),"Ejecución &lt; 60 %: rojo automático",IF(AND(ISNUMBER(AE236),N(AE236)&lt;80),"PIAR &lt; 80 %: máximo amarillo",IF(AND(ISNUMBER(AC236),N(AC236)&lt;50,N(O236)&gt;=2),"Observación &lt; 50: máximo amarillo",IF(AND(N236&lt;&gt;"",N(N236)&lt;Parámetros!$B$15),"κ &lt; 0,60: observación descartada, repetir","")))))</f>
        <v/>
      </c>
    </row>
    <row r="237" customFormat="false" ht="15" hidden="false" customHeight="fals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7" t="str">
        <f aca="false">IF(N(E237)&gt;0,MIN(100,F237/E237*100),"")</f>
        <v/>
      </c>
      <c r="Y237" s="47" t="str">
        <f aca="false">IF(N(G237)&gt;0,MIN(100,H237/G237*100),"")</f>
        <v/>
      </c>
      <c r="Z237" s="47" t="str">
        <f aca="false">IF(N(I237)&gt;0,MIN(100,J237/I237*100),"")</f>
        <v/>
      </c>
      <c r="AA237" s="47" t="str">
        <f aca="false">IF(K237="","",K237/24*100)</f>
        <v/>
      </c>
      <c r="AB237" s="47" t="str">
        <f aca="false">IF(L237="","",L237/3*100)</f>
        <v/>
      </c>
      <c r="AC237" s="47" t="str">
        <f aca="false">IF(OR(M237="",AND(N237&lt;&gt;"",N(N237)&lt;Parámetros!$B$15)),"",MAX(0,MIN(100,(M237-1)/4*100)))</f>
        <v/>
      </c>
      <c r="AD237" s="47" t="str">
        <f aca="false">IF(OR(P237="",N(Q237)=0),"",MAX(0,MIN(100,((Q237/(Q237+Parámetros!$B$16))*P237+(Parámetros!$B$16/(Q237+Parámetros!$B$16))*Parámetros!$B$17-0.1)/0.4*100)))</f>
        <v/>
      </c>
      <c r="AE237" s="47" t="str">
        <f aca="false">IF(N(R237)&gt;0,MIN(100,S237/R237*100),"")</f>
        <v/>
      </c>
      <c r="AF237" s="47" t="str">
        <f aca="false">IF(N(U237)&gt;0,MIN(100,T237/(U237*5)*100),"")</f>
        <v/>
      </c>
      <c r="AG237" s="47" t="str">
        <f aca="false">IF(OR(V237="",N(W237)&lt;10),"",(V237-1)/4*100)</f>
        <v/>
      </c>
      <c r="AH237" s="47" t="str">
        <f aca="false">IF($C237="","",COUNT(X237:AG237))</f>
        <v/>
      </c>
      <c r="AI237" s="47" t="str">
        <f aca="false">IF(OR($C237="",N(AH237)&lt;Parámetros!$B$18),"",(IF(ISNUMBER(X237),X237*Parámetros!$B$2,0)+IF(ISNUMBER(Y237),Y237*Parámetros!$B$3,0)+IF(ISNUMBER(Z237),Z237*Parámetros!$B$4,0)+IF(ISNUMBER(AA237),AA237*Parámetros!$B$5,0)+IF(ISNUMBER(AB237),AB237*Parámetros!$B$6,0)+IF(ISNUMBER(AC237),AC237*Parámetros!$B$7,0)+IF(ISNUMBER(AD237),AD237*Parámetros!$B$8,0)+IF(ISNUMBER(AE237),AE237*Parámetros!$B$9,0)+IF(ISNUMBER(AF237),AF237*Parámetros!$B$10,0)+IF(ISNUMBER(AG237),AG237*Parámetros!$B$11,0))/(IF(ISNUMBER(X237),Parámetros!$B$2,0)+IF(ISNUMBER(Y237),Parámetros!$B$3,0)+IF(ISNUMBER(Z237),Parámetros!$B$4,0)+IF(ISNUMBER(AA237),Parámetros!$B$5,0)+IF(ISNUMBER(AB237),Parámetros!$B$6,0)+IF(ISNUMBER(AC237),Parámetros!$B$7,0)+IF(ISNUMBER(AD237),Parámetros!$B$8,0)+IF(ISNUMBER(AE237),Parámetros!$B$9,0)+IF(ISNUMBER(AF237),Parámetros!$B$10,0)+IF(ISNUMBER(AG237),Parámetros!$B$11,0)))</f>
        <v/>
      </c>
      <c r="AJ237" s="47" t="n">
        <f aca="false">IF(AND(ISNUMBER(Y237),N(Y237)&lt;60),69.9,IF(OR(AND(ISNUMBER(AE237),N(AE237)&lt;80),AND(ISNUMBER(AC237),N(AC237)&lt;50,N(O237)&gt;=2)),84.9,100))</f>
        <v>100</v>
      </c>
      <c r="AK237" s="47" t="str">
        <f aca="false">IF(AI237="","",MIN(AI237,AJ237))</f>
        <v/>
      </c>
      <c r="AL237" s="47" t="str">
        <f aca="false">IF($C237="","",IF(AK237="","Gris — menos de 3 fuentes",IF(AND(AK237&lt;Parámetros!$B$14,N237&lt;&gt;"",N(N237)&lt;Parámetros!$B$15,N(Y237)&gt;=60),"Gris — repetir observación",IF(AK237&gt;=Parámetros!$B$13,"Verde",IF(AK237&gt;=Parámetros!$B$14,"Amarillo","Rojo")))))</f>
        <v/>
      </c>
      <c r="AM237" s="47" t="str">
        <f aca="false">IF($C237="","",IF(AND(ISNUMBER(Y237),N(Y237)&lt;60),"Ejecución &lt; 60 %: rojo automático",IF(AND(ISNUMBER(AE237),N(AE237)&lt;80),"PIAR &lt; 80 %: máximo amarillo",IF(AND(ISNUMBER(AC237),N(AC237)&lt;50,N(O237)&gt;=2),"Observación &lt; 50: máximo amarillo",IF(AND(N237&lt;&gt;"",N(N237)&lt;Parámetros!$B$15),"κ &lt; 0,60: observación descartada, repetir","")))))</f>
        <v/>
      </c>
    </row>
    <row r="238" customFormat="false" ht="15" hidden="false" customHeight="fals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7" t="str">
        <f aca="false">IF(N(E238)&gt;0,MIN(100,F238/E238*100),"")</f>
        <v/>
      </c>
      <c r="Y238" s="47" t="str">
        <f aca="false">IF(N(G238)&gt;0,MIN(100,H238/G238*100),"")</f>
        <v/>
      </c>
      <c r="Z238" s="47" t="str">
        <f aca="false">IF(N(I238)&gt;0,MIN(100,J238/I238*100),"")</f>
        <v/>
      </c>
      <c r="AA238" s="47" t="str">
        <f aca="false">IF(K238="","",K238/24*100)</f>
        <v/>
      </c>
      <c r="AB238" s="47" t="str">
        <f aca="false">IF(L238="","",L238/3*100)</f>
        <v/>
      </c>
      <c r="AC238" s="47" t="str">
        <f aca="false">IF(OR(M238="",AND(N238&lt;&gt;"",N(N238)&lt;Parámetros!$B$15)),"",MAX(0,MIN(100,(M238-1)/4*100)))</f>
        <v/>
      </c>
      <c r="AD238" s="47" t="str">
        <f aca="false">IF(OR(P238="",N(Q238)=0),"",MAX(0,MIN(100,((Q238/(Q238+Parámetros!$B$16))*P238+(Parámetros!$B$16/(Q238+Parámetros!$B$16))*Parámetros!$B$17-0.1)/0.4*100)))</f>
        <v/>
      </c>
      <c r="AE238" s="47" t="str">
        <f aca="false">IF(N(R238)&gt;0,MIN(100,S238/R238*100),"")</f>
        <v/>
      </c>
      <c r="AF238" s="47" t="str">
        <f aca="false">IF(N(U238)&gt;0,MIN(100,T238/(U238*5)*100),"")</f>
        <v/>
      </c>
      <c r="AG238" s="47" t="str">
        <f aca="false">IF(OR(V238="",N(W238)&lt;10),"",(V238-1)/4*100)</f>
        <v/>
      </c>
      <c r="AH238" s="47" t="str">
        <f aca="false">IF($C238="","",COUNT(X238:AG238))</f>
        <v/>
      </c>
      <c r="AI238" s="47" t="str">
        <f aca="false">IF(OR($C238="",N(AH238)&lt;Parámetros!$B$18),"",(IF(ISNUMBER(X238),X238*Parámetros!$B$2,0)+IF(ISNUMBER(Y238),Y238*Parámetros!$B$3,0)+IF(ISNUMBER(Z238),Z238*Parámetros!$B$4,0)+IF(ISNUMBER(AA238),AA238*Parámetros!$B$5,0)+IF(ISNUMBER(AB238),AB238*Parámetros!$B$6,0)+IF(ISNUMBER(AC238),AC238*Parámetros!$B$7,0)+IF(ISNUMBER(AD238),AD238*Parámetros!$B$8,0)+IF(ISNUMBER(AE238),AE238*Parámetros!$B$9,0)+IF(ISNUMBER(AF238),AF238*Parámetros!$B$10,0)+IF(ISNUMBER(AG238),AG238*Parámetros!$B$11,0))/(IF(ISNUMBER(X238),Parámetros!$B$2,0)+IF(ISNUMBER(Y238),Parámetros!$B$3,0)+IF(ISNUMBER(Z238),Parámetros!$B$4,0)+IF(ISNUMBER(AA238),Parámetros!$B$5,0)+IF(ISNUMBER(AB238),Parámetros!$B$6,0)+IF(ISNUMBER(AC238),Parámetros!$B$7,0)+IF(ISNUMBER(AD238),Parámetros!$B$8,0)+IF(ISNUMBER(AE238),Parámetros!$B$9,0)+IF(ISNUMBER(AF238),Parámetros!$B$10,0)+IF(ISNUMBER(AG238),Parámetros!$B$11,0)))</f>
        <v/>
      </c>
      <c r="AJ238" s="47" t="n">
        <f aca="false">IF(AND(ISNUMBER(Y238),N(Y238)&lt;60),69.9,IF(OR(AND(ISNUMBER(AE238),N(AE238)&lt;80),AND(ISNUMBER(AC238),N(AC238)&lt;50,N(O238)&gt;=2)),84.9,100))</f>
        <v>100</v>
      </c>
      <c r="AK238" s="47" t="str">
        <f aca="false">IF(AI238="","",MIN(AI238,AJ238))</f>
        <v/>
      </c>
      <c r="AL238" s="47" t="str">
        <f aca="false">IF($C238="","",IF(AK238="","Gris — menos de 3 fuentes",IF(AND(AK238&lt;Parámetros!$B$14,N238&lt;&gt;"",N(N238)&lt;Parámetros!$B$15,N(Y238)&gt;=60),"Gris — repetir observación",IF(AK238&gt;=Parámetros!$B$13,"Verde",IF(AK238&gt;=Parámetros!$B$14,"Amarillo","Rojo")))))</f>
        <v/>
      </c>
      <c r="AM238" s="47" t="str">
        <f aca="false">IF($C238="","",IF(AND(ISNUMBER(Y238),N(Y238)&lt;60),"Ejecución &lt; 60 %: rojo automático",IF(AND(ISNUMBER(AE238),N(AE238)&lt;80),"PIAR &lt; 80 %: máximo amarillo",IF(AND(ISNUMBER(AC238),N(AC238)&lt;50,N(O238)&gt;=2),"Observación &lt; 50: máximo amarillo",IF(AND(N238&lt;&gt;"",N(N238)&lt;Parámetros!$B$15),"κ &lt; 0,60: observación descartada, repetir","")))))</f>
        <v/>
      </c>
    </row>
    <row r="239" customFormat="false" ht="15" hidden="false" customHeight="fals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7" t="str">
        <f aca="false">IF(N(E239)&gt;0,MIN(100,F239/E239*100),"")</f>
        <v/>
      </c>
      <c r="Y239" s="47" t="str">
        <f aca="false">IF(N(G239)&gt;0,MIN(100,H239/G239*100),"")</f>
        <v/>
      </c>
      <c r="Z239" s="47" t="str">
        <f aca="false">IF(N(I239)&gt;0,MIN(100,J239/I239*100),"")</f>
        <v/>
      </c>
      <c r="AA239" s="47" t="str">
        <f aca="false">IF(K239="","",K239/24*100)</f>
        <v/>
      </c>
      <c r="AB239" s="47" t="str">
        <f aca="false">IF(L239="","",L239/3*100)</f>
        <v/>
      </c>
      <c r="AC239" s="47" t="str">
        <f aca="false">IF(OR(M239="",AND(N239&lt;&gt;"",N(N239)&lt;Parámetros!$B$15)),"",MAX(0,MIN(100,(M239-1)/4*100)))</f>
        <v/>
      </c>
      <c r="AD239" s="47" t="str">
        <f aca="false">IF(OR(P239="",N(Q239)=0),"",MAX(0,MIN(100,((Q239/(Q239+Parámetros!$B$16))*P239+(Parámetros!$B$16/(Q239+Parámetros!$B$16))*Parámetros!$B$17-0.1)/0.4*100)))</f>
        <v/>
      </c>
      <c r="AE239" s="47" t="str">
        <f aca="false">IF(N(R239)&gt;0,MIN(100,S239/R239*100),"")</f>
        <v/>
      </c>
      <c r="AF239" s="47" t="str">
        <f aca="false">IF(N(U239)&gt;0,MIN(100,T239/(U239*5)*100),"")</f>
        <v/>
      </c>
      <c r="AG239" s="47" t="str">
        <f aca="false">IF(OR(V239="",N(W239)&lt;10),"",(V239-1)/4*100)</f>
        <v/>
      </c>
      <c r="AH239" s="47" t="str">
        <f aca="false">IF($C239="","",COUNT(X239:AG239))</f>
        <v/>
      </c>
      <c r="AI239" s="47" t="str">
        <f aca="false">IF(OR($C239="",N(AH239)&lt;Parámetros!$B$18),"",(IF(ISNUMBER(X239),X239*Parámetros!$B$2,0)+IF(ISNUMBER(Y239),Y239*Parámetros!$B$3,0)+IF(ISNUMBER(Z239),Z239*Parámetros!$B$4,0)+IF(ISNUMBER(AA239),AA239*Parámetros!$B$5,0)+IF(ISNUMBER(AB239),AB239*Parámetros!$B$6,0)+IF(ISNUMBER(AC239),AC239*Parámetros!$B$7,0)+IF(ISNUMBER(AD239),AD239*Parámetros!$B$8,0)+IF(ISNUMBER(AE239),AE239*Parámetros!$B$9,0)+IF(ISNUMBER(AF239),AF239*Parámetros!$B$10,0)+IF(ISNUMBER(AG239),AG239*Parámetros!$B$11,0))/(IF(ISNUMBER(X239),Parámetros!$B$2,0)+IF(ISNUMBER(Y239),Parámetros!$B$3,0)+IF(ISNUMBER(Z239),Parámetros!$B$4,0)+IF(ISNUMBER(AA239),Parámetros!$B$5,0)+IF(ISNUMBER(AB239),Parámetros!$B$6,0)+IF(ISNUMBER(AC239),Parámetros!$B$7,0)+IF(ISNUMBER(AD239),Parámetros!$B$8,0)+IF(ISNUMBER(AE239),Parámetros!$B$9,0)+IF(ISNUMBER(AF239),Parámetros!$B$10,0)+IF(ISNUMBER(AG239),Parámetros!$B$11,0)))</f>
        <v/>
      </c>
      <c r="AJ239" s="47" t="n">
        <f aca="false">IF(AND(ISNUMBER(Y239),N(Y239)&lt;60),69.9,IF(OR(AND(ISNUMBER(AE239),N(AE239)&lt;80),AND(ISNUMBER(AC239),N(AC239)&lt;50,N(O239)&gt;=2)),84.9,100))</f>
        <v>100</v>
      </c>
      <c r="AK239" s="47" t="str">
        <f aca="false">IF(AI239="","",MIN(AI239,AJ239))</f>
        <v/>
      </c>
      <c r="AL239" s="47" t="str">
        <f aca="false">IF($C239="","",IF(AK239="","Gris — menos de 3 fuentes",IF(AND(AK239&lt;Parámetros!$B$14,N239&lt;&gt;"",N(N239)&lt;Parámetros!$B$15,N(Y239)&gt;=60),"Gris — repetir observación",IF(AK239&gt;=Parámetros!$B$13,"Verde",IF(AK239&gt;=Parámetros!$B$14,"Amarillo","Rojo")))))</f>
        <v/>
      </c>
      <c r="AM239" s="47" t="str">
        <f aca="false">IF($C239="","",IF(AND(ISNUMBER(Y239),N(Y239)&lt;60),"Ejecución &lt; 60 %: rojo automático",IF(AND(ISNUMBER(AE239),N(AE239)&lt;80),"PIAR &lt; 80 %: máximo amarillo",IF(AND(ISNUMBER(AC239),N(AC239)&lt;50,N(O239)&gt;=2),"Observación &lt; 50: máximo amarillo",IF(AND(N239&lt;&gt;"",N(N239)&lt;Parámetros!$B$15),"κ &lt; 0,60: observación descartada, repetir","")))))</f>
        <v/>
      </c>
    </row>
    <row r="240" customFormat="false" ht="15" hidden="false" customHeight="fals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7" t="str">
        <f aca="false">IF(N(E240)&gt;0,MIN(100,F240/E240*100),"")</f>
        <v/>
      </c>
      <c r="Y240" s="47" t="str">
        <f aca="false">IF(N(G240)&gt;0,MIN(100,H240/G240*100),"")</f>
        <v/>
      </c>
      <c r="Z240" s="47" t="str">
        <f aca="false">IF(N(I240)&gt;0,MIN(100,J240/I240*100),"")</f>
        <v/>
      </c>
      <c r="AA240" s="47" t="str">
        <f aca="false">IF(K240="","",K240/24*100)</f>
        <v/>
      </c>
      <c r="AB240" s="47" t="str">
        <f aca="false">IF(L240="","",L240/3*100)</f>
        <v/>
      </c>
      <c r="AC240" s="47" t="str">
        <f aca="false">IF(OR(M240="",AND(N240&lt;&gt;"",N(N240)&lt;Parámetros!$B$15)),"",MAX(0,MIN(100,(M240-1)/4*100)))</f>
        <v/>
      </c>
      <c r="AD240" s="47" t="str">
        <f aca="false">IF(OR(P240="",N(Q240)=0),"",MAX(0,MIN(100,((Q240/(Q240+Parámetros!$B$16))*P240+(Parámetros!$B$16/(Q240+Parámetros!$B$16))*Parámetros!$B$17-0.1)/0.4*100)))</f>
        <v/>
      </c>
      <c r="AE240" s="47" t="str">
        <f aca="false">IF(N(R240)&gt;0,MIN(100,S240/R240*100),"")</f>
        <v/>
      </c>
      <c r="AF240" s="47" t="str">
        <f aca="false">IF(N(U240)&gt;0,MIN(100,T240/(U240*5)*100),"")</f>
        <v/>
      </c>
      <c r="AG240" s="47" t="str">
        <f aca="false">IF(OR(V240="",N(W240)&lt;10),"",(V240-1)/4*100)</f>
        <v/>
      </c>
      <c r="AH240" s="47" t="str">
        <f aca="false">IF($C240="","",COUNT(X240:AG240))</f>
        <v/>
      </c>
      <c r="AI240" s="47" t="str">
        <f aca="false">IF(OR($C240="",N(AH240)&lt;Parámetros!$B$18),"",(IF(ISNUMBER(X240),X240*Parámetros!$B$2,0)+IF(ISNUMBER(Y240),Y240*Parámetros!$B$3,0)+IF(ISNUMBER(Z240),Z240*Parámetros!$B$4,0)+IF(ISNUMBER(AA240),AA240*Parámetros!$B$5,0)+IF(ISNUMBER(AB240),AB240*Parámetros!$B$6,0)+IF(ISNUMBER(AC240),AC240*Parámetros!$B$7,0)+IF(ISNUMBER(AD240),AD240*Parámetros!$B$8,0)+IF(ISNUMBER(AE240),AE240*Parámetros!$B$9,0)+IF(ISNUMBER(AF240),AF240*Parámetros!$B$10,0)+IF(ISNUMBER(AG240),AG240*Parámetros!$B$11,0))/(IF(ISNUMBER(X240),Parámetros!$B$2,0)+IF(ISNUMBER(Y240),Parámetros!$B$3,0)+IF(ISNUMBER(Z240),Parámetros!$B$4,0)+IF(ISNUMBER(AA240),Parámetros!$B$5,0)+IF(ISNUMBER(AB240),Parámetros!$B$6,0)+IF(ISNUMBER(AC240),Parámetros!$B$7,0)+IF(ISNUMBER(AD240),Parámetros!$B$8,0)+IF(ISNUMBER(AE240),Parámetros!$B$9,0)+IF(ISNUMBER(AF240),Parámetros!$B$10,0)+IF(ISNUMBER(AG240),Parámetros!$B$11,0)))</f>
        <v/>
      </c>
      <c r="AJ240" s="47" t="n">
        <f aca="false">IF(AND(ISNUMBER(Y240),N(Y240)&lt;60),69.9,IF(OR(AND(ISNUMBER(AE240),N(AE240)&lt;80),AND(ISNUMBER(AC240),N(AC240)&lt;50,N(O240)&gt;=2)),84.9,100))</f>
        <v>100</v>
      </c>
      <c r="AK240" s="47" t="str">
        <f aca="false">IF(AI240="","",MIN(AI240,AJ240))</f>
        <v/>
      </c>
      <c r="AL240" s="47" t="str">
        <f aca="false">IF($C240="","",IF(AK240="","Gris — menos de 3 fuentes",IF(AND(AK240&lt;Parámetros!$B$14,N240&lt;&gt;"",N(N240)&lt;Parámetros!$B$15,N(Y240)&gt;=60),"Gris — repetir observación",IF(AK240&gt;=Parámetros!$B$13,"Verde",IF(AK240&gt;=Parámetros!$B$14,"Amarillo","Rojo")))))</f>
        <v/>
      </c>
      <c r="AM240" s="47" t="str">
        <f aca="false">IF($C240="","",IF(AND(ISNUMBER(Y240),N(Y240)&lt;60),"Ejecución &lt; 60 %: rojo automático",IF(AND(ISNUMBER(AE240),N(AE240)&lt;80),"PIAR &lt; 80 %: máximo amarillo",IF(AND(ISNUMBER(AC240),N(AC240)&lt;50,N(O240)&gt;=2),"Observación &lt; 50: máximo amarillo",IF(AND(N240&lt;&gt;"",N(N240)&lt;Parámetros!$B$15),"κ &lt; 0,60: observación descartada, repetir","")))))</f>
        <v/>
      </c>
    </row>
    <row r="241" customFormat="false" ht="15" hidden="false" customHeight="fals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7" t="str">
        <f aca="false">IF(N(E241)&gt;0,MIN(100,F241/E241*100),"")</f>
        <v/>
      </c>
      <c r="Y241" s="47" t="str">
        <f aca="false">IF(N(G241)&gt;0,MIN(100,H241/G241*100),"")</f>
        <v/>
      </c>
      <c r="Z241" s="47" t="str">
        <f aca="false">IF(N(I241)&gt;0,MIN(100,J241/I241*100),"")</f>
        <v/>
      </c>
      <c r="AA241" s="47" t="str">
        <f aca="false">IF(K241="","",K241/24*100)</f>
        <v/>
      </c>
      <c r="AB241" s="47" t="str">
        <f aca="false">IF(L241="","",L241/3*100)</f>
        <v/>
      </c>
      <c r="AC241" s="47" t="str">
        <f aca="false">IF(OR(M241="",AND(N241&lt;&gt;"",N(N241)&lt;Parámetros!$B$15)),"",MAX(0,MIN(100,(M241-1)/4*100)))</f>
        <v/>
      </c>
      <c r="AD241" s="47" t="str">
        <f aca="false">IF(OR(P241="",N(Q241)=0),"",MAX(0,MIN(100,((Q241/(Q241+Parámetros!$B$16))*P241+(Parámetros!$B$16/(Q241+Parámetros!$B$16))*Parámetros!$B$17-0.1)/0.4*100)))</f>
        <v/>
      </c>
      <c r="AE241" s="47" t="str">
        <f aca="false">IF(N(R241)&gt;0,MIN(100,S241/R241*100),"")</f>
        <v/>
      </c>
      <c r="AF241" s="47" t="str">
        <f aca="false">IF(N(U241)&gt;0,MIN(100,T241/(U241*5)*100),"")</f>
        <v/>
      </c>
      <c r="AG241" s="47" t="str">
        <f aca="false">IF(OR(V241="",N(W241)&lt;10),"",(V241-1)/4*100)</f>
        <v/>
      </c>
      <c r="AH241" s="47" t="str">
        <f aca="false">IF($C241="","",COUNT(X241:AG241))</f>
        <v/>
      </c>
      <c r="AI241" s="47" t="str">
        <f aca="false">IF(OR($C241="",N(AH241)&lt;Parámetros!$B$18),"",(IF(ISNUMBER(X241),X241*Parámetros!$B$2,0)+IF(ISNUMBER(Y241),Y241*Parámetros!$B$3,0)+IF(ISNUMBER(Z241),Z241*Parámetros!$B$4,0)+IF(ISNUMBER(AA241),AA241*Parámetros!$B$5,0)+IF(ISNUMBER(AB241),AB241*Parámetros!$B$6,0)+IF(ISNUMBER(AC241),AC241*Parámetros!$B$7,0)+IF(ISNUMBER(AD241),AD241*Parámetros!$B$8,0)+IF(ISNUMBER(AE241),AE241*Parámetros!$B$9,0)+IF(ISNUMBER(AF241),AF241*Parámetros!$B$10,0)+IF(ISNUMBER(AG241),AG241*Parámetros!$B$11,0))/(IF(ISNUMBER(X241),Parámetros!$B$2,0)+IF(ISNUMBER(Y241),Parámetros!$B$3,0)+IF(ISNUMBER(Z241),Parámetros!$B$4,0)+IF(ISNUMBER(AA241),Parámetros!$B$5,0)+IF(ISNUMBER(AB241),Parámetros!$B$6,0)+IF(ISNUMBER(AC241),Parámetros!$B$7,0)+IF(ISNUMBER(AD241),Parámetros!$B$8,0)+IF(ISNUMBER(AE241),Parámetros!$B$9,0)+IF(ISNUMBER(AF241),Parámetros!$B$10,0)+IF(ISNUMBER(AG241),Parámetros!$B$11,0)))</f>
        <v/>
      </c>
      <c r="AJ241" s="47" t="n">
        <f aca="false">IF(AND(ISNUMBER(Y241),N(Y241)&lt;60),69.9,IF(OR(AND(ISNUMBER(AE241),N(AE241)&lt;80),AND(ISNUMBER(AC241),N(AC241)&lt;50,N(O241)&gt;=2)),84.9,100))</f>
        <v>100</v>
      </c>
      <c r="AK241" s="47" t="str">
        <f aca="false">IF(AI241="","",MIN(AI241,AJ241))</f>
        <v/>
      </c>
      <c r="AL241" s="47" t="str">
        <f aca="false">IF($C241="","",IF(AK241="","Gris — menos de 3 fuentes",IF(AND(AK241&lt;Parámetros!$B$14,N241&lt;&gt;"",N(N241)&lt;Parámetros!$B$15,N(Y241)&gt;=60),"Gris — repetir observación",IF(AK241&gt;=Parámetros!$B$13,"Verde",IF(AK241&gt;=Parámetros!$B$14,"Amarillo","Rojo")))))</f>
        <v/>
      </c>
      <c r="AM241" s="47" t="str">
        <f aca="false">IF($C241="","",IF(AND(ISNUMBER(Y241),N(Y241)&lt;60),"Ejecución &lt; 60 %: rojo automático",IF(AND(ISNUMBER(AE241),N(AE241)&lt;80),"PIAR &lt; 80 %: máximo amarillo",IF(AND(ISNUMBER(AC241),N(AC241)&lt;50,N(O241)&gt;=2),"Observación &lt; 50: máximo amarillo",IF(AND(N241&lt;&gt;"",N(N241)&lt;Parámetros!$B$15),"κ &lt; 0,60: observación descartada, repetir","")))))</f>
        <v/>
      </c>
    </row>
    <row r="242" customFormat="false" ht="15" hidden="false" customHeight="fals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7" t="str">
        <f aca="false">IF(N(E242)&gt;0,MIN(100,F242/E242*100),"")</f>
        <v/>
      </c>
      <c r="Y242" s="47" t="str">
        <f aca="false">IF(N(G242)&gt;0,MIN(100,H242/G242*100),"")</f>
        <v/>
      </c>
      <c r="Z242" s="47" t="str">
        <f aca="false">IF(N(I242)&gt;0,MIN(100,J242/I242*100),"")</f>
        <v/>
      </c>
      <c r="AA242" s="47" t="str">
        <f aca="false">IF(K242="","",K242/24*100)</f>
        <v/>
      </c>
      <c r="AB242" s="47" t="str">
        <f aca="false">IF(L242="","",L242/3*100)</f>
        <v/>
      </c>
      <c r="AC242" s="47" t="str">
        <f aca="false">IF(OR(M242="",AND(N242&lt;&gt;"",N(N242)&lt;Parámetros!$B$15)),"",MAX(0,MIN(100,(M242-1)/4*100)))</f>
        <v/>
      </c>
      <c r="AD242" s="47" t="str">
        <f aca="false">IF(OR(P242="",N(Q242)=0),"",MAX(0,MIN(100,((Q242/(Q242+Parámetros!$B$16))*P242+(Parámetros!$B$16/(Q242+Parámetros!$B$16))*Parámetros!$B$17-0.1)/0.4*100)))</f>
        <v/>
      </c>
      <c r="AE242" s="47" t="str">
        <f aca="false">IF(N(R242)&gt;0,MIN(100,S242/R242*100),"")</f>
        <v/>
      </c>
      <c r="AF242" s="47" t="str">
        <f aca="false">IF(N(U242)&gt;0,MIN(100,T242/(U242*5)*100),"")</f>
        <v/>
      </c>
      <c r="AG242" s="47" t="str">
        <f aca="false">IF(OR(V242="",N(W242)&lt;10),"",(V242-1)/4*100)</f>
        <v/>
      </c>
      <c r="AH242" s="47" t="str">
        <f aca="false">IF($C242="","",COUNT(X242:AG242))</f>
        <v/>
      </c>
      <c r="AI242" s="47" t="str">
        <f aca="false">IF(OR($C242="",N(AH242)&lt;Parámetros!$B$18),"",(IF(ISNUMBER(X242),X242*Parámetros!$B$2,0)+IF(ISNUMBER(Y242),Y242*Parámetros!$B$3,0)+IF(ISNUMBER(Z242),Z242*Parámetros!$B$4,0)+IF(ISNUMBER(AA242),AA242*Parámetros!$B$5,0)+IF(ISNUMBER(AB242),AB242*Parámetros!$B$6,0)+IF(ISNUMBER(AC242),AC242*Parámetros!$B$7,0)+IF(ISNUMBER(AD242),AD242*Parámetros!$B$8,0)+IF(ISNUMBER(AE242),AE242*Parámetros!$B$9,0)+IF(ISNUMBER(AF242),AF242*Parámetros!$B$10,0)+IF(ISNUMBER(AG242),AG242*Parámetros!$B$11,0))/(IF(ISNUMBER(X242),Parámetros!$B$2,0)+IF(ISNUMBER(Y242),Parámetros!$B$3,0)+IF(ISNUMBER(Z242),Parámetros!$B$4,0)+IF(ISNUMBER(AA242),Parámetros!$B$5,0)+IF(ISNUMBER(AB242),Parámetros!$B$6,0)+IF(ISNUMBER(AC242),Parámetros!$B$7,0)+IF(ISNUMBER(AD242),Parámetros!$B$8,0)+IF(ISNUMBER(AE242),Parámetros!$B$9,0)+IF(ISNUMBER(AF242),Parámetros!$B$10,0)+IF(ISNUMBER(AG242),Parámetros!$B$11,0)))</f>
        <v/>
      </c>
      <c r="AJ242" s="47" t="n">
        <f aca="false">IF(AND(ISNUMBER(Y242),N(Y242)&lt;60),69.9,IF(OR(AND(ISNUMBER(AE242),N(AE242)&lt;80),AND(ISNUMBER(AC242),N(AC242)&lt;50,N(O242)&gt;=2)),84.9,100))</f>
        <v>100</v>
      </c>
      <c r="AK242" s="47" t="str">
        <f aca="false">IF(AI242="","",MIN(AI242,AJ242))</f>
        <v/>
      </c>
      <c r="AL242" s="47" t="str">
        <f aca="false">IF($C242="","",IF(AK242="","Gris — menos de 3 fuentes",IF(AND(AK242&lt;Parámetros!$B$14,N242&lt;&gt;"",N(N242)&lt;Parámetros!$B$15,N(Y242)&gt;=60),"Gris — repetir observación",IF(AK242&gt;=Parámetros!$B$13,"Verde",IF(AK242&gt;=Parámetros!$B$14,"Amarillo","Rojo")))))</f>
        <v/>
      </c>
      <c r="AM242" s="47" t="str">
        <f aca="false">IF($C242="","",IF(AND(ISNUMBER(Y242),N(Y242)&lt;60),"Ejecución &lt; 60 %: rojo automático",IF(AND(ISNUMBER(AE242),N(AE242)&lt;80),"PIAR &lt; 80 %: máximo amarillo",IF(AND(ISNUMBER(AC242),N(AC242)&lt;50,N(O242)&gt;=2),"Observación &lt; 50: máximo amarillo",IF(AND(N242&lt;&gt;"",N(N242)&lt;Parámetros!$B$15),"κ &lt; 0,60: observación descartada, repetir","")))))</f>
        <v/>
      </c>
    </row>
    <row r="243" customFormat="false" ht="15" hidden="false" customHeight="fals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7" t="str">
        <f aca="false">IF(N(E243)&gt;0,MIN(100,F243/E243*100),"")</f>
        <v/>
      </c>
      <c r="Y243" s="47" t="str">
        <f aca="false">IF(N(G243)&gt;0,MIN(100,H243/G243*100),"")</f>
        <v/>
      </c>
      <c r="Z243" s="47" t="str">
        <f aca="false">IF(N(I243)&gt;0,MIN(100,J243/I243*100),"")</f>
        <v/>
      </c>
      <c r="AA243" s="47" t="str">
        <f aca="false">IF(K243="","",K243/24*100)</f>
        <v/>
      </c>
      <c r="AB243" s="47" t="str">
        <f aca="false">IF(L243="","",L243/3*100)</f>
        <v/>
      </c>
      <c r="AC243" s="47" t="str">
        <f aca="false">IF(OR(M243="",AND(N243&lt;&gt;"",N(N243)&lt;Parámetros!$B$15)),"",MAX(0,MIN(100,(M243-1)/4*100)))</f>
        <v/>
      </c>
      <c r="AD243" s="47" t="str">
        <f aca="false">IF(OR(P243="",N(Q243)=0),"",MAX(0,MIN(100,((Q243/(Q243+Parámetros!$B$16))*P243+(Parámetros!$B$16/(Q243+Parámetros!$B$16))*Parámetros!$B$17-0.1)/0.4*100)))</f>
        <v/>
      </c>
      <c r="AE243" s="47" t="str">
        <f aca="false">IF(N(R243)&gt;0,MIN(100,S243/R243*100),"")</f>
        <v/>
      </c>
      <c r="AF243" s="47" t="str">
        <f aca="false">IF(N(U243)&gt;0,MIN(100,T243/(U243*5)*100),"")</f>
        <v/>
      </c>
      <c r="AG243" s="47" t="str">
        <f aca="false">IF(OR(V243="",N(W243)&lt;10),"",(V243-1)/4*100)</f>
        <v/>
      </c>
      <c r="AH243" s="47" t="str">
        <f aca="false">IF($C243="","",COUNT(X243:AG243))</f>
        <v/>
      </c>
      <c r="AI243" s="47" t="str">
        <f aca="false">IF(OR($C243="",N(AH243)&lt;Parámetros!$B$18),"",(IF(ISNUMBER(X243),X243*Parámetros!$B$2,0)+IF(ISNUMBER(Y243),Y243*Parámetros!$B$3,0)+IF(ISNUMBER(Z243),Z243*Parámetros!$B$4,0)+IF(ISNUMBER(AA243),AA243*Parámetros!$B$5,0)+IF(ISNUMBER(AB243),AB243*Parámetros!$B$6,0)+IF(ISNUMBER(AC243),AC243*Parámetros!$B$7,0)+IF(ISNUMBER(AD243),AD243*Parámetros!$B$8,0)+IF(ISNUMBER(AE243),AE243*Parámetros!$B$9,0)+IF(ISNUMBER(AF243),AF243*Parámetros!$B$10,0)+IF(ISNUMBER(AG243),AG243*Parámetros!$B$11,0))/(IF(ISNUMBER(X243),Parámetros!$B$2,0)+IF(ISNUMBER(Y243),Parámetros!$B$3,0)+IF(ISNUMBER(Z243),Parámetros!$B$4,0)+IF(ISNUMBER(AA243),Parámetros!$B$5,0)+IF(ISNUMBER(AB243),Parámetros!$B$6,0)+IF(ISNUMBER(AC243),Parámetros!$B$7,0)+IF(ISNUMBER(AD243),Parámetros!$B$8,0)+IF(ISNUMBER(AE243),Parámetros!$B$9,0)+IF(ISNUMBER(AF243),Parámetros!$B$10,0)+IF(ISNUMBER(AG243),Parámetros!$B$11,0)))</f>
        <v/>
      </c>
      <c r="AJ243" s="47" t="n">
        <f aca="false">IF(AND(ISNUMBER(Y243),N(Y243)&lt;60),69.9,IF(OR(AND(ISNUMBER(AE243),N(AE243)&lt;80),AND(ISNUMBER(AC243),N(AC243)&lt;50,N(O243)&gt;=2)),84.9,100))</f>
        <v>100</v>
      </c>
      <c r="AK243" s="47" t="str">
        <f aca="false">IF(AI243="","",MIN(AI243,AJ243))</f>
        <v/>
      </c>
      <c r="AL243" s="47" t="str">
        <f aca="false">IF($C243="","",IF(AK243="","Gris — menos de 3 fuentes",IF(AND(AK243&lt;Parámetros!$B$14,N243&lt;&gt;"",N(N243)&lt;Parámetros!$B$15,N(Y243)&gt;=60),"Gris — repetir observación",IF(AK243&gt;=Parámetros!$B$13,"Verde",IF(AK243&gt;=Parámetros!$B$14,"Amarillo","Rojo")))))</f>
        <v/>
      </c>
      <c r="AM243" s="47" t="str">
        <f aca="false">IF($C243="","",IF(AND(ISNUMBER(Y243),N(Y243)&lt;60),"Ejecución &lt; 60 %: rojo automático",IF(AND(ISNUMBER(AE243),N(AE243)&lt;80),"PIAR &lt; 80 %: máximo amarillo",IF(AND(ISNUMBER(AC243),N(AC243)&lt;50,N(O243)&gt;=2),"Observación &lt; 50: máximo amarillo",IF(AND(N243&lt;&gt;"",N(N243)&lt;Parámetros!$B$15),"κ &lt; 0,60: observación descartada, repetir","")))))</f>
        <v/>
      </c>
    </row>
    <row r="244" customFormat="false" ht="15" hidden="false" customHeight="fals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7" t="str">
        <f aca="false">IF(N(E244)&gt;0,MIN(100,F244/E244*100),"")</f>
        <v/>
      </c>
      <c r="Y244" s="47" t="str">
        <f aca="false">IF(N(G244)&gt;0,MIN(100,H244/G244*100),"")</f>
        <v/>
      </c>
      <c r="Z244" s="47" t="str">
        <f aca="false">IF(N(I244)&gt;0,MIN(100,J244/I244*100),"")</f>
        <v/>
      </c>
      <c r="AA244" s="47" t="str">
        <f aca="false">IF(K244="","",K244/24*100)</f>
        <v/>
      </c>
      <c r="AB244" s="47" t="str">
        <f aca="false">IF(L244="","",L244/3*100)</f>
        <v/>
      </c>
      <c r="AC244" s="47" t="str">
        <f aca="false">IF(OR(M244="",AND(N244&lt;&gt;"",N(N244)&lt;Parámetros!$B$15)),"",MAX(0,MIN(100,(M244-1)/4*100)))</f>
        <v/>
      </c>
      <c r="AD244" s="47" t="str">
        <f aca="false">IF(OR(P244="",N(Q244)=0),"",MAX(0,MIN(100,((Q244/(Q244+Parámetros!$B$16))*P244+(Parámetros!$B$16/(Q244+Parámetros!$B$16))*Parámetros!$B$17-0.1)/0.4*100)))</f>
        <v/>
      </c>
      <c r="AE244" s="47" t="str">
        <f aca="false">IF(N(R244)&gt;0,MIN(100,S244/R244*100),"")</f>
        <v/>
      </c>
      <c r="AF244" s="47" t="str">
        <f aca="false">IF(N(U244)&gt;0,MIN(100,T244/(U244*5)*100),"")</f>
        <v/>
      </c>
      <c r="AG244" s="47" t="str">
        <f aca="false">IF(OR(V244="",N(W244)&lt;10),"",(V244-1)/4*100)</f>
        <v/>
      </c>
      <c r="AH244" s="47" t="str">
        <f aca="false">IF($C244="","",COUNT(X244:AG244))</f>
        <v/>
      </c>
      <c r="AI244" s="47" t="str">
        <f aca="false">IF(OR($C244="",N(AH244)&lt;Parámetros!$B$18),"",(IF(ISNUMBER(X244),X244*Parámetros!$B$2,0)+IF(ISNUMBER(Y244),Y244*Parámetros!$B$3,0)+IF(ISNUMBER(Z244),Z244*Parámetros!$B$4,0)+IF(ISNUMBER(AA244),AA244*Parámetros!$B$5,0)+IF(ISNUMBER(AB244),AB244*Parámetros!$B$6,0)+IF(ISNUMBER(AC244),AC244*Parámetros!$B$7,0)+IF(ISNUMBER(AD244),AD244*Parámetros!$B$8,0)+IF(ISNUMBER(AE244),AE244*Parámetros!$B$9,0)+IF(ISNUMBER(AF244),AF244*Parámetros!$B$10,0)+IF(ISNUMBER(AG244),AG244*Parámetros!$B$11,0))/(IF(ISNUMBER(X244),Parámetros!$B$2,0)+IF(ISNUMBER(Y244),Parámetros!$B$3,0)+IF(ISNUMBER(Z244),Parámetros!$B$4,0)+IF(ISNUMBER(AA244),Parámetros!$B$5,0)+IF(ISNUMBER(AB244),Parámetros!$B$6,0)+IF(ISNUMBER(AC244),Parámetros!$B$7,0)+IF(ISNUMBER(AD244),Parámetros!$B$8,0)+IF(ISNUMBER(AE244),Parámetros!$B$9,0)+IF(ISNUMBER(AF244),Parámetros!$B$10,0)+IF(ISNUMBER(AG244),Parámetros!$B$11,0)))</f>
        <v/>
      </c>
      <c r="AJ244" s="47" t="n">
        <f aca="false">IF(AND(ISNUMBER(Y244),N(Y244)&lt;60),69.9,IF(OR(AND(ISNUMBER(AE244),N(AE244)&lt;80),AND(ISNUMBER(AC244),N(AC244)&lt;50,N(O244)&gt;=2)),84.9,100))</f>
        <v>100</v>
      </c>
      <c r="AK244" s="47" t="str">
        <f aca="false">IF(AI244="","",MIN(AI244,AJ244))</f>
        <v/>
      </c>
      <c r="AL244" s="47" t="str">
        <f aca="false">IF($C244="","",IF(AK244="","Gris — menos de 3 fuentes",IF(AND(AK244&lt;Parámetros!$B$14,N244&lt;&gt;"",N(N244)&lt;Parámetros!$B$15,N(Y244)&gt;=60),"Gris — repetir observación",IF(AK244&gt;=Parámetros!$B$13,"Verde",IF(AK244&gt;=Parámetros!$B$14,"Amarillo","Rojo")))))</f>
        <v/>
      </c>
      <c r="AM244" s="47" t="str">
        <f aca="false">IF($C244="","",IF(AND(ISNUMBER(Y244),N(Y244)&lt;60),"Ejecución &lt; 60 %: rojo automático",IF(AND(ISNUMBER(AE244),N(AE244)&lt;80),"PIAR &lt; 80 %: máximo amarillo",IF(AND(ISNUMBER(AC244),N(AC244)&lt;50,N(O244)&gt;=2),"Observación &lt; 50: máximo amarillo",IF(AND(N244&lt;&gt;"",N(N244)&lt;Parámetros!$B$15),"κ &lt; 0,60: observación descartada, repetir","")))))</f>
        <v/>
      </c>
    </row>
    <row r="245" customFormat="false" ht="15" hidden="false" customHeight="fals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7" t="str">
        <f aca="false">IF(N(E245)&gt;0,MIN(100,F245/E245*100),"")</f>
        <v/>
      </c>
      <c r="Y245" s="47" t="str">
        <f aca="false">IF(N(G245)&gt;0,MIN(100,H245/G245*100),"")</f>
        <v/>
      </c>
      <c r="Z245" s="47" t="str">
        <f aca="false">IF(N(I245)&gt;0,MIN(100,J245/I245*100),"")</f>
        <v/>
      </c>
      <c r="AA245" s="47" t="str">
        <f aca="false">IF(K245="","",K245/24*100)</f>
        <v/>
      </c>
      <c r="AB245" s="47" t="str">
        <f aca="false">IF(L245="","",L245/3*100)</f>
        <v/>
      </c>
      <c r="AC245" s="47" t="str">
        <f aca="false">IF(OR(M245="",AND(N245&lt;&gt;"",N(N245)&lt;Parámetros!$B$15)),"",MAX(0,MIN(100,(M245-1)/4*100)))</f>
        <v/>
      </c>
      <c r="AD245" s="47" t="str">
        <f aca="false">IF(OR(P245="",N(Q245)=0),"",MAX(0,MIN(100,((Q245/(Q245+Parámetros!$B$16))*P245+(Parámetros!$B$16/(Q245+Parámetros!$B$16))*Parámetros!$B$17-0.1)/0.4*100)))</f>
        <v/>
      </c>
      <c r="AE245" s="47" t="str">
        <f aca="false">IF(N(R245)&gt;0,MIN(100,S245/R245*100),"")</f>
        <v/>
      </c>
      <c r="AF245" s="47" t="str">
        <f aca="false">IF(N(U245)&gt;0,MIN(100,T245/(U245*5)*100),"")</f>
        <v/>
      </c>
      <c r="AG245" s="47" t="str">
        <f aca="false">IF(OR(V245="",N(W245)&lt;10),"",(V245-1)/4*100)</f>
        <v/>
      </c>
      <c r="AH245" s="47" t="str">
        <f aca="false">IF($C245="","",COUNT(X245:AG245))</f>
        <v/>
      </c>
      <c r="AI245" s="47" t="str">
        <f aca="false">IF(OR($C245="",N(AH245)&lt;Parámetros!$B$18),"",(IF(ISNUMBER(X245),X245*Parámetros!$B$2,0)+IF(ISNUMBER(Y245),Y245*Parámetros!$B$3,0)+IF(ISNUMBER(Z245),Z245*Parámetros!$B$4,0)+IF(ISNUMBER(AA245),AA245*Parámetros!$B$5,0)+IF(ISNUMBER(AB245),AB245*Parámetros!$B$6,0)+IF(ISNUMBER(AC245),AC245*Parámetros!$B$7,0)+IF(ISNUMBER(AD245),AD245*Parámetros!$B$8,0)+IF(ISNUMBER(AE245),AE245*Parámetros!$B$9,0)+IF(ISNUMBER(AF245),AF245*Parámetros!$B$10,0)+IF(ISNUMBER(AG245),AG245*Parámetros!$B$11,0))/(IF(ISNUMBER(X245),Parámetros!$B$2,0)+IF(ISNUMBER(Y245),Parámetros!$B$3,0)+IF(ISNUMBER(Z245),Parámetros!$B$4,0)+IF(ISNUMBER(AA245),Parámetros!$B$5,0)+IF(ISNUMBER(AB245),Parámetros!$B$6,0)+IF(ISNUMBER(AC245),Parámetros!$B$7,0)+IF(ISNUMBER(AD245),Parámetros!$B$8,0)+IF(ISNUMBER(AE245),Parámetros!$B$9,0)+IF(ISNUMBER(AF245),Parámetros!$B$10,0)+IF(ISNUMBER(AG245),Parámetros!$B$11,0)))</f>
        <v/>
      </c>
      <c r="AJ245" s="47" t="n">
        <f aca="false">IF(AND(ISNUMBER(Y245),N(Y245)&lt;60),69.9,IF(OR(AND(ISNUMBER(AE245),N(AE245)&lt;80),AND(ISNUMBER(AC245),N(AC245)&lt;50,N(O245)&gt;=2)),84.9,100))</f>
        <v>100</v>
      </c>
      <c r="AK245" s="47" t="str">
        <f aca="false">IF(AI245="","",MIN(AI245,AJ245))</f>
        <v/>
      </c>
      <c r="AL245" s="47" t="str">
        <f aca="false">IF($C245="","",IF(AK245="","Gris — menos de 3 fuentes",IF(AND(AK245&lt;Parámetros!$B$14,N245&lt;&gt;"",N(N245)&lt;Parámetros!$B$15,N(Y245)&gt;=60),"Gris — repetir observación",IF(AK245&gt;=Parámetros!$B$13,"Verde",IF(AK245&gt;=Parámetros!$B$14,"Amarillo","Rojo")))))</f>
        <v/>
      </c>
      <c r="AM245" s="47" t="str">
        <f aca="false">IF($C245="","",IF(AND(ISNUMBER(Y245),N(Y245)&lt;60),"Ejecución &lt; 60 %: rojo automático",IF(AND(ISNUMBER(AE245),N(AE245)&lt;80),"PIAR &lt; 80 %: máximo amarillo",IF(AND(ISNUMBER(AC245),N(AC245)&lt;50,N(O245)&gt;=2),"Observación &lt; 50: máximo amarillo",IF(AND(N245&lt;&gt;"",N(N245)&lt;Parámetros!$B$15),"κ &lt; 0,60: observación descartada, repetir","")))))</f>
        <v/>
      </c>
    </row>
    <row r="246" customFormat="false" ht="15" hidden="false" customHeight="fals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7" t="str">
        <f aca="false">IF(N(E246)&gt;0,MIN(100,F246/E246*100),"")</f>
        <v/>
      </c>
      <c r="Y246" s="47" t="str">
        <f aca="false">IF(N(G246)&gt;0,MIN(100,H246/G246*100),"")</f>
        <v/>
      </c>
      <c r="Z246" s="47" t="str">
        <f aca="false">IF(N(I246)&gt;0,MIN(100,J246/I246*100),"")</f>
        <v/>
      </c>
      <c r="AA246" s="47" t="str">
        <f aca="false">IF(K246="","",K246/24*100)</f>
        <v/>
      </c>
      <c r="AB246" s="47" t="str">
        <f aca="false">IF(L246="","",L246/3*100)</f>
        <v/>
      </c>
      <c r="AC246" s="47" t="str">
        <f aca="false">IF(OR(M246="",AND(N246&lt;&gt;"",N(N246)&lt;Parámetros!$B$15)),"",MAX(0,MIN(100,(M246-1)/4*100)))</f>
        <v/>
      </c>
      <c r="AD246" s="47" t="str">
        <f aca="false">IF(OR(P246="",N(Q246)=0),"",MAX(0,MIN(100,((Q246/(Q246+Parámetros!$B$16))*P246+(Parámetros!$B$16/(Q246+Parámetros!$B$16))*Parámetros!$B$17-0.1)/0.4*100)))</f>
        <v/>
      </c>
      <c r="AE246" s="47" t="str">
        <f aca="false">IF(N(R246)&gt;0,MIN(100,S246/R246*100),"")</f>
        <v/>
      </c>
      <c r="AF246" s="47" t="str">
        <f aca="false">IF(N(U246)&gt;0,MIN(100,T246/(U246*5)*100),"")</f>
        <v/>
      </c>
      <c r="AG246" s="47" t="str">
        <f aca="false">IF(OR(V246="",N(W246)&lt;10),"",(V246-1)/4*100)</f>
        <v/>
      </c>
      <c r="AH246" s="47" t="str">
        <f aca="false">IF($C246="","",COUNT(X246:AG246))</f>
        <v/>
      </c>
      <c r="AI246" s="47" t="str">
        <f aca="false">IF(OR($C246="",N(AH246)&lt;Parámetros!$B$18),"",(IF(ISNUMBER(X246),X246*Parámetros!$B$2,0)+IF(ISNUMBER(Y246),Y246*Parámetros!$B$3,0)+IF(ISNUMBER(Z246),Z246*Parámetros!$B$4,0)+IF(ISNUMBER(AA246),AA246*Parámetros!$B$5,0)+IF(ISNUMBER(AB246),AB246*Parámetros!$B$6,0)+IF(ISNUMBER(AC246),AC246*Parámetros!$B$7,0)+IF(ISNUMBER(AD246),AD246*Parámetros!$B$8,0)+IF(ISNUMBER(AE246),AE246*Parámetros!$B$9,0)+IF(ISNUMBER(AF246),AF246*Parámetros!$B$10,0)+IF(ISNUMBER(AG246),AG246*Parámetros!$B$11,0))/(IF(ISNUMBER(X246),Parámetros!$B$2,0)+IF(ISNUMBER(Y246),Parámetros!$B$3,0)+IF(ISNUMBER(Z246),Parámetros!$B$4,0)+IF(ISNUMBER(AA246),Parámetros!$B$5,0)+IF(ISNUMBER(AB246),Parámetros!$B$6,0)+IF(ISNUMBER(AC246),Parámetros!$B$7,0)+IF(ISNUMBER(AD246),Parámetros!$B$8,0)+IF(ISNUMBER(AE246),Parámetros!$B$9,0)+IF(ISNUMBER(AF246),Parámetros!$B$10,0)+IF(ISNUMBER(AG246),Parámetros!$B$11,0)))</f>
        <v/>
      </c>
      <c r="AJ246" s="47" t="n">
        <f aca="false">IF(AND(ISNUMBER(Y246),N(Y246)&lt;60),69.9,IF(OR(AND(ISNUMBER(AE246),N(AE246)&lt;80),AND(ISNUMBER(AC246),N(AC246)&lt;50,N(O246)&gt;=2)),84.9,100))</f>
        <v>100</v>
      </c>
      <c r="AK246" s="47" t="str">
        <f aca="false">IF(AI246="","",MIN(AI246,AJ246))</f>
        <v/>
      </c>
      <c r="AL246" s="47" t="str">
        <f aca="false">IF($C246="","",IF(AK246="","Gris — menos de 3 fuentes",IF(AND(AK246&lt;Parámetros!$B$14,N246&lt;&gt;"",N(N246)&lt;Parámetros!$B$15,N(Y246)&gt;=60),"Gris — repetir observación",IF(AK246&gt;=Parámetros!$B$13,"Verde",IF(AK246&gt;=Parámetros!$B$14,"Amarillo","Rojo")))))</f>
        <v/>
      </c>
      <c r="AM246" s="47" t="str">
        <f aca="false">IF($C246="","",IF(AND(ISNUMBER(Y246),N(Y246)&lt;60),"Ejecución &lt; 60 %: rojo automático",IF(AND(ISNUMBER(AE246),N(AE246)&lt;80),"PIAR &lt; 80 %: máximo amarillo",IF(AND(ISNUMBER(AC246),N(AC246)&lt;50,N(O246)&gt;=2),"Observación &lt; 50: máximo amarillo",IF(AND(N246&lt;&gt;"",N(N246)&lt;Parámetros!$B$15),"κ &lt; 0,60: observación descartada, repetir","")))))</f>
        <v/>
      </c>
    </row>
    <row r="247" customFormat="false" ht="15" hidden="false" customHeight="fals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7" t="str">
        <f aca="false">IF(N(E247)&gt;0,MIN(100,F247/E247*100),"")</f>
        <v/>
      </c>
      <c r="Y247" s="47" t="str">
        <f aca="false">IF(N(G247)&gt;0,MIN(100,H247/G247*100),"")</f>
        <v/>
      </c>
      <c r="Z247" s="47" t="str">
        <f aca="false">IF(N(I247)&gt;0,MIN(100,J247/I247*100),"")</f>
        <v/>
      </c>
      <c r="AA247" s="47" t="str">
        <f aca="false">IF(K247="","",K247/24*100)</f>
        <v/>
      </c>
      <c r="AB247" s="47" t="str">
        <f aca="false">IF(L247="","",L247/3*100)</f>
        <v/>
      </c>
      <c r="AC247" s="47" t="str">
        <f aca="false">IF(OR(M247="",AND(N247&lt;&gt;"",N(N247)&lt;Parámetros!$B$15)),"",MAX(0,MIN(100,(M247-1)/4*100)))</f>
        <v/>
      </c>
      <c r="AD247" s="47" t="str">
        <f aca="false">IF(OR(P247="",N(Q247)=0),"",MAX(0,MIN(100,((Q247/(Q247+Parámetros!$B$16))*P247+(Parámetros!$B$16/(Q247+Parámetros!$B$16))*Parámetros!$B$17-0.1)/0.4*100)))</f>
        <v/>
      </c>
      <c r="AE247" s="47" t="str">
        <f aca="false">IF(N(R247)&gt;0,MIN(100,S247/R247*100),"")</f>
        <v/>
      </c>
      <c r="AF247" s="47" t="str">
        <f aca="false">IF(N(U247)&gt;0,MIN(100,T247/(U247*5)*100),"")</f>
        <v/>
      </c>
      <c r="AG247" s="47" t="str">
        <f aca="false">IF(OR(V247="",N(W247)&lt;10),"",(V247-1)/4*100)</f>
        <v/>
      </c>
      <c r="AH247" s="47" t="str">
        <f aca="false">IF($C247="","",COUNT(X247:AG247))</f>
        <v/>
      </c>
      <c r="AI247" s="47" t="str">
        <f aca="false">IF(OR($C247="",N(AH247)&lt;Parámetros!$B$18),"",(IF(ISNUMBER(X247),X247*Parámetros!$B$2,0)+IF(ISNUMBER(Y247),Y247*Parámetros!$B$3,0)+IF(ISNUMBER(Z247),Z247*Parámetros!$B$4,0)+IF(ISNUMBER(AA247),AA247*Parámetros!$B$5,0)+IF(ISNUMBER(AB247),AB247*Parámetros!$B$6,0)+IF(ISNUMBER(AC247),AC247*Parámetros!$B$7,0)+IF(ISNUMBER(AD247),AD247*Parámetros!$B$8,0)+IF(ISNUMBER(AE247),AE247*Parámetros!$B$9,0)+IF(ISNUMBER(AF247),AF247*Parámetros!$B$10,0)+IF(ISNUMBER(AG247),AG247*Parámetros!$B$11,0))/(IF(ISNUMBER(X247),Parámetros!$B$2,0)+IF(ISNUMBER(Y247),Parámetros!$B$3,0)+IF(ISNUMBER(Z247),Parámetros!$B$4,0)+IF(ISNUMBER(AA247),Parámetros!$B$5,0)+IF(ISNUMBER(AB247),Parámetros!$B$6,0)+IF(ISNUMBER(AC247),Parámetros!$B$7,0)+IF(ISNUMBER(AD247),Parámetros!$B$8,0)+IF(ISNUMBER(AE247),Parámetros!$B$9,0)+IF(ISNUMBER(AF247),Parámetros!$B$10,0)+IF(ISNUMBER(AG247),Parámetros!$B$11,0)))</f>
        <v/>
      </c>
      <c r="AJ247" s="47" t="n">
        <f aca="false">IF(AND(ISNUMBER(Y247),N(Y247)&lt;60),69.9,IF(OR(AND(ISNUMBER(AE247),N(AE247)&lt;80),AND(ISNUMBER(AC247),N(AC247)&lt;50,N(O247)&gt;=2)),84.9,100))</f>
        <v>100</v>
      </c>
      <c r="AK247" s="47" t="str">
        <f aca="false">IF(AI247="","",MIN(AI247,AJ247))</f>
        <v/>
      </c>
      <c r="AL247" s="47" t="str">
        <f aca="false">IF($C247="","",IF(AK247="","Gris — menos de 3 fuentes",IF(AND(AK247&lt;Parámetros!$B$14,N247&lt;&gt;"",N(N247)&lt;Parámetros!$B$15,N(Y247)&gt;=60),"Gris — repetir observación",IF(AK247&gt;=Parámetros!$B$13,"Verde",IF(AK247&gt;=Parámetros!$B$14,"Amarillo","Rojo")))))</f>
        <v/>
      </c>
      <c r="AM247" s="47" t="str">
        <f aca="false">IF($C247="","",IF(AND(ISNUMBER(Y247),N(Y247)&lt;60),"Ejecución &lt; 60 %: rojo automático",IF(AND(ISNUMBER(AE247),N(AE247)&lt;80),"PIAR &lt; 80 %: máximo amarillo",IF(AND(ISNUMBER(AC247),N(AC247)&lt;50,N(O247)&gt;=2),"Observación &lt; 50: máximo amarillo",IF(AND(N247&lt;&gt;"",N(N247)&lt;Parámetros!$B$15),"κ &lt; 0,60: observación descartada, repetir","")))))</f>
        <v/>
      </c>
    </row>
    <row r="248" customFormat="false" ht="15" hidden="false" customHeight="fals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7" t="str">
        <f aca="false">IF(N(E248)&gt;0,MIN(100,F248/E248*100),"")</f>
        <v/>
      </c>
      <c r="Y248" s="47" t="str">
        <f aca="false">IF(N(G248)&gt;0,MIN(100,H248/G248*100),"")</f>
        <v/>
      </c>
      <c r="Z248" s="47" t="str">
        <f aca="false">IF(N(I248)&gt;0,MIN(100,J248/I248*100),"")</f>
        <v/>
      </c>
      <c r="AA248" s="47" t="str">
        <f aca="false">IF(K248="","",K248/24*100)</f>
        <v/>
      </c>
      <c r="AB248" s="47" t="str">
        <f aca="false">IF(L248="","",L248/3*100)</f>
        <v/>
      </c>
      <c r="AC248" s="47" t="str">
        <f aca="false">IF(OR(M248="",AND(N248&lt;&gt;"",N(N248)&lt;Parámetros!$B$15)),"",MAX(0,MIN(100,(M248-1)/4*100)))</f>
        <v/>
      </c>
      <c r="AD248" s="47" t="str">
        <f aca="false">IF(OR(P248="",N(Q248)=0),"",MAX(0,MIN(100,((Q248/(Q248+Parámetros!$B$16))*P248+(Parámetros!$B$16/(Q248+Parámetros!$B$16))*Parámetros!$B$17-0.1)/0.4*100)))</f>
        <v/>
      </c>
      <c r="AE248" s="47" t="str">
        <f aca="false">IF(N(R248)&gt;0,MIN(100,S248/R248*100),"")</f>
        <v/>
      </c>
      <c r="AF248" s="47" t="str">
        <f aca="false">IF(N(U248)&gt;0,MIN(100,T248/(U248*5)*100),"")</f>
        <v/>
      </c>
      <c r="AG248" s="47" t="str">
        <f aca="false">IF(OR(V248="",N(W248)&lt;10),"",(V248-1)/4*100)</f>
        <v/>
      </c>
      <c r="AH248" s="47" t="str">
        <f aca="false">IF($C248="","",COUNT(X248:AG248))</f>
        <v/>
      </c>
      <c r="AI248" s="47" t="str">
        <f aca="false">IF(OR($C248="",N(AH248)&lt;Parámetros!$B$18),"",(IF(ISNUMBER(X248),X248*Parámetros!$B$2,0)+IF(ISNUMBER(Y248),Y248*Parámetros!$B$3,0)+IF(ISNUMBER(Z248),Z248*Parámetros!$B$4,0)+IF(ISNUMBER(AA248),AA248*Parámetros!$B$5,0)+IF(ISNUMBER(AB248),AB248*Parámetros!$B$6,0)+IF(ISNUMBER(AC248),AC248*Parámetros!$B$7,0)+IF(ISNUMBER(AD248),AD248*Parámetros!$B$8,0)+IF(ISNUMBER(AE248),AE248*Parámetros!$B$9,0)+IF(ISNUMBER(AF248),AF248*Parámetros!$B$10,0)+IF(ISNUMBER(AG248),AG248*Parámetros!$B$11,0))/(IF(ISNUMBER(X248),Parámetros!$B$2,0)+IF(ISNUMBER(Y248),Parámetros!$B$3,0)+IF(ISNUMBER(Z248),Parámetros!$B$4,0)+IF(ISNUMBER(AA248),Parámetros!$B$5,0)+IF(ISNUMBER(AB248),Parámetros!$B$6,0)+IF(ISNUMBER(AC248),Parámetros!$B$7,0)+IF(ISNUMBER(AD248),Parámetros!$B$8,0)+IF(ISNUMBER(AE248),Parámetros!$B$9,0)+IF(ISNUMBER(AF248),Parámetros!$B$10,0)+IF(ISNUMBER(AG248),Parámetros!$B$11,0)))</f>
        <v/>
      </c>
      <c r="AJ248" s="47" t="n">
        <f aca="false">IF(AND(ISNUMBER(Y248),N(Y248)&lt;60),69.9,IF(OR(AND(ISNUMBER(AE248),N(AE248)&lt;80),AND(ISNUMBER(AC248),N(AC248)&lt;50,N(O248)&gt;=2)),84.9,100))</f>
        <v>100</v>
      </c>
      <c r="AK248" s="47" t="str">
        <f aca="false">IF(AI248="","",MIN(AI248,AJ248))</f>
        <v/>
      </c>
      <c r="AL248" s="47" t="str">
        <f aca="false">IF($C248="","",IF(AK248="","Gris — menos de 3 fuentes",IF(AND(AK248&lt;Parámetros!$B$14,N248&lt;&gt;"",N(N248)&lt;Parámetros!$B$15,N(Y248)&gt;=60),"Gris — repetir observación",IF(AK248&gt;=Parámetros!$B$13,"Verde",IF(AK248&gt;=Parámetros!$B$14,"Amarillo","Rojo")))))</f>
        <v/>
      </c>
      <c r="AM248" s="47" t="str">
        <f aca="false">IF($C248="","",IF(AND(ISNUMBER(Y248),N(Y248)&lt;60),"Ejecución &lt; 60 %: rojo automático",IF(AND(ISNUMBER(AE248),N(AE248)&lt;80),"PIAR &lt; 80 %: máximo amarillo",IF(AND(ISNUMBER(AC248),N(AC248)&lt;50,N(O248)&gt;=2),"Observación &lt; 50: máximo amarillo",IF(AND(N248&lt;&gt;"",N(N248)&lt;Parámetros!$B$15),"κ &lt; 0,60: observación descartada, repetir","")))))</f>
        <v/>
      </c>
    </row>
    <row r="249" customFormat="false" ht="15" hidden="false" customHeight="fals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7" t="str">
        <f aca="false">IF(N(E249)&gt;0,MIN(100,F249/E249*100),"")</f>
        <v/>
      </c>
      <c r="Y249" s="47" t="str">
        <f aca="false">IF(N(G249)&gt;0,MIN(100,H249/G249*100),"")</f>
        <v/>
      </c>
      <c r="Z249" s="47" t="str">
        <f aca="false">IF(N(I249)&gt;0,MIN(100,J249/I249*100),"")</f>
        <v/>
      </c>
      <c r="AA249" s="47" t="str">
        <f aca="false">IF(K249="","",K249/24*100)</f>
        <v/>
      </c>
      <c r="AB249" s="47" t="str">
        <f aca="false">IF(L249="","",L249/3*100)</f>
        <v/>
      </c>
      <c r="AC249" s="47" t="str">
        <f aca="false">IF(OR(M249="",AND(N249&lt;&gt;"",N(N249)&lt;Parámetros!$B$15)),"",MAX(0,MIN(100,(M249-1)/4*100)))</f>
        <v/>
      </c>
      <c r="AD249" s="47" t="str">
        <f aca="false">IF(OR(P249="",N(Q249)=0),"",MAX(0,MIN(100,((Q249/(Q249+Parámetros!$B$16))*P249+(Parámetros!$B$16/(Q249+Parámetros!$B$16))*Parámetros!$B$17-0.1)/0.4*100)))</f>
        <v/>
      </c>
      <c r="AE249" s="47" t="str">
        <f aca="false">IF(N(R249)&gt;0,MIN(100,S249/R249*100),"")</f>
        <v/>
      </c>
      <c r="AF249" s="47" t="str">
        <f aca="false">IF(N(U249)&gt;0,MIN(100,T249/(U249*5)*100),"")</f>
        <v/>
      </c>
      <c r="AG249" s="47" t="str">
        <f aca="false">IF(OR(V249="",N(W249)&lt;10),"",(V249-1)/4*100)</f>
        <v/>
      </c>
      <c r="AH249" s="47" t="str">
        <f aca="false">IF($C249="","",COUNT(X249:AG249))</f>
        <v/>
      </c>
      <c r="AI249" s="47" t="str">
        <f aca="false">IF(OR($C249="",N(AH249)&lt;Parámetros!$B$18),"",(IF(ISNUMBER(X249),X249*Parámetros!$B$2,0)+IF(ISNUMBER(Y249),Y249*Parámetros!$B$3,0)+IF(ISNUMBER(Z249),Z249*Parámetros!$B$4,0)+IF(ISNUMBER(AA249),AA249*Parámetros!$B$5,0)+IF(ISNUMBER(AB249),AB249*Parámetros!$B$6,0)+IF(ISNUMBER(AC249),AC249*Parámetros!$B$7,0)+IF(ISNUMBER(AD249),AD249*Parámetros!$B$8,0)+IF(ISNUMBER(AE249),AE249*Parámetros!$B$9,0)+IF(ISNUMBER(AF249),AF249*Parámetros!$B$10,0)+IF(ISNUMBER(AG249),AG249*Parámetros!$B$11,0))/(IF(ISNUMBER(X249),Parámetros!$B$2,0)+IF(ISNUMBER(Y249),Parámetros!$B$3,0)+IF(ISNUMBER(Z249),Parámetros!$B$4,0)+IF(ISNUMBER(AA249),Parámetros!$B$5,0)+IF(ISNUMBER(AB249),Parámetros!$B$6,0)+IF(ISNUMBER(AC249),Parámetros!$B$7,0)+IF(ISNUMBER(AD249),Parámetros!$B$8,0)+IF(ISNUMBER(AE249),Parámetros!$B$9,0)+IF(ISNUMBER(AF249),Parámetros!$B$10,0)+IF(ISNUMBER(AG249),Parámetros!$B$11,0)))</f>
        <v/>
      </c>
      <c r="AJ249" s="47" t="n">
        <f aca="false">IF(AND(ISNUMBER(Y249),N(Y249)&lt;60),69.9,IF(OR(AND(ISNUMBER(AE249),N(AE249)&lt;80),AND(ISNUMBER(AC249),N(AC249)&lt;50,N(O249)&gt;=2)),84.9,100))</f>
        <v>100</v>
      </c>
      <c r="AK249" s="47" t="str">
        <f aca="false">IF(AI249="","",MIN(AI249,AJ249))</f>
        <v/>
      </c>
      <c r="AL249" s="47" t="str">
        <f aca="false">IF($C249="","",IF(AK249="","Gris — menos de 3 fuentes",IF(AND(AK249&lt;Parámetros!$B$14,N249&lt;&gt;"",N(N249)&lt;Parámetros!$B$15,N(Y249)&gt;=60),"Gris — repetir observación",IF(AK249&gt;=Parámetros!$B$13,"Verde",IF(AK249&gt;=Parámetros!$B$14,"Amarillo","Rojo")))))</f>
        <v/>
      </c>
      <c r="AM249" s="47" t="str">
        <f aca="false">IF($C249="","",IF(AND(ISNUMBER(Y249),N(Y249)&lt;60),"Ejecución &lt; 60 %: rojo automático",IF(AND(ISNUMBER(AE249),N(AE249)&lt;80),"PIAR &lt; 80 %: máximo amarillo",IF(AND(ISNUMBER(AC249),N(AC249)&lt;50,N(O249)&gt;=2),"Observación &lt; 50: máximo amarillo",IF(AND(N249&lt;&gt;"",N(N249)&lt;Parámetros!$B$15),"κ &lt; 0,60: observación descartada, repetir","")))))</f>
        <v/>
      </c>
    </row>
    <row r="250" customFormat="false" ht="15" hidden="false" customHeight="fals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7" t="str">
        <f aca="false">IF(N(E250)&gt;0,MIN(100,F250/E250*100),"")</f>
        <v/>
      </c>
      <c r="Y250" s="47" t="str">
        <f aca="false">IF(N(G250)&gt;0,MIN(100,H250/G250*100),"")</f>
        <v/>
      </c>
      <c r="Z250" s="47" t="str">
        <f aca="false">IF(N(I250)&gt;0,MIN(100,J250/I250*100),"")</f>
        <v/>
      </c>
      <c r="AA250" s="47" t="str">
        <f aca="false">IF(K250="","",K250/24*100)</f>
        <v/>
      </c>
      <c r="AB250" s="47" t="str">
        <f aca="false">IF(L250="","",L250/3*100)</f>
        <v/>
      </c>
      <c r="AC250" s="47" t="str">
        <f aca="false">IF(OR(M250="",AND(N250&lt;&gt;"",N(N250)&lt;Parámetros!$B$15)),"",MAX(0,MIN(100,(M250-1)/4*100)))</f>
        <v/>
      </c>
      <c r="AD250" s="47" t="str">
        <f aca="false">IF(OR(P250="",N(Q250)=0),"",MAX(0,MIN(100,((Q250/(Q250+Parámetros!$B$16))*P250+(Parámetros!$B$16/(Q250+Parámetros!$B$16))*Parámetros!$B$17-0.1)/0.4*100)))</f>
        <v/>
      </c>
      <c r="AE250" s="47" t="str">
        <f aca="false">IF(N(R250)&gt;0,MIN(100,S250/R250*100),"")</f>
        <v/>
      </c>
      <c r="AF250" s="47" t="str">
        <f aca="false">IF(N(U250)&gt;0,MIN(100,T250/(U250*5)*100),"")</f>
        <v/>
      </c>
      <c r="AG250" s="47" t="str">
        <f aca="false">IF(OR(V250="",N(W250)&lt;10),"",(V250-1)/4*100)</f>
        <v/>
      </c>
      <c r="AH250" s="47" t="str">
        <f aca="false">IF($C250="","",COUNT(X250:AG250))</f>
        <v/>
      </c>
      <c r="AI250" s="47" t="str">
        <f aca="false">IF(OR($C250="",N(AH250)&lt;Parámetros!$B$18),"",(IF(ISNUMBER(X250),X250*Parámetros!$B$2,0)+IF(ISNUMBER(Y250),Y250*Parámetros!$B$3,0)+IF(ISNUMBER(Z250),Z250*Parámetros!$B$4,0)+IF(ISNUMBER(AA250),AA250*Parámetros!$B$5,0)+IF(ISNUMBER(AB250),AB250*Parámetros!$B$6,0)+IF(ISNUMBER(AC250),AC250*Parámetros!$B$7,0)+IF(ISNUMBER(AD250),AD250*Parámetros!$B$8,0)+IF(ISNUMBER(AE250),AE250*Parámetros!$B$9,0)+IF(ISNUMBER(AF250),AF250*Parámetros!$B$10,0)+IF(ISNUMBER(AG250),AG250*Parámetros!$B$11,0))/(IF(ISNUMBER(X250),Parámetros!$B$2,0)+IF(ISNUMBER(Y250),Parámetros!$B$3,0)+IF(ISNUMBER(Z250),Parámetros!$B$4,0)+IF(ISNUMBER(AA250),Parámetros!$B$5,0)+IF(ISNUMBER(AB250),Parámetros!$B$6,0)+IF(ISNUMBER(AC250),Parámetros!$B$7,0)+IF(ISNUMBER(AD250),Parámetros!$B$8,0)+IF(ISNUMBER(AE250),Parámetros!$B$9,0)+IF(ISNUMBER(AF250),Parámetros!$B$10,0)+IF(ISNUMBER(AG250),Parámetros!$B$11,0)))</f>
        <v/>
      </c>
      <c r="AJ250" s="47" t="n">
        <f aca="false">IF(AND(ISNUMBER(Y250),N(Y250)&lt;60),69.9,IF(OR(AND(ISNUMBER(AE250),N(AE250)&lt;80),AND(ISNUMBER(AC250),N(AC250)&lt;50,N(O250)&gt;=2)),84.9,100))</f>
        <v>100</v>
      </c>
      <c r="AK250" s="47" t="str">
        <f aca="false">IF(AI250="","",MIN(AI250,AJ250))</f>
        <v/>
      </c>
      <c r="AL250" s="47" t="str">
        <f aca="false">IF($C250="","",IF(AK250="","Gris — menos de 3 fuentes",IF(AND(AK250&lt;Parámetros!$B$14,N250&lt;&gt;"",N(N250)&lt;Parámetros!$B$15,N(Y250)&gt;=60),"Gris — repetir observación",IF(AK250&gt;=Parámetros!$B$13,"Verde",IF(AK250&gt;=Parámetros!$B$14,"Amarillo","Rojo")))))</f>
        <v/>
      </c>
      <c r="AM250" s="47" t="str">
        <f aca="false">IF($C250="","",IF(AND(ISNUMBER(Y250),N(Y250)&lt;60),"Ejecución &lt; 60 %: rojo automático",IF(AND(ISNUMBER(AE250),N(AE250)&lt;80),"PIAR &lt; 80 %: máximo amarillo",IF(AND(ISNUMBER(AC250),N(AC250)&lt;50,N(O250)&gt;=2),"Observación &lt; 50: máximo amarillo",IF(AND(N250&lt;&gt;"",N(N250)&lt;Parámetros!$B$15),"κ &lt; 0,60: observación descartada, repetir","")))))</f>
        <v/>
      </c>
    </row>
    <row r="251" customFormat="false" ht="15" hidden="false" customHeight="fals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7" t="str">
        <f aca="false">IF(N(E251)&gt;0,MIN(100,F251/E251*100),"")</f>
        <v/>
      </c>
      <c r="Y251" s="47" t="str">
        <f aca="false">IF(N(G251)&gt;0,MIN(100,H251/G251*100),"")</f>
        <v/>
      </c>
      <c r="Z251" s="47" t="str">
        <f aca="false">IF(N(I251)&gt;0,MIN(100,J251/I251*100),"")</f>
        <v/>
      </c>
      <c r="AA251" s="47" t="str">
        <f aca="false">IF(K251="","",K251/24*100)</f>
        <v/>
      </c>
      <c r="AB251" s="47" t="str">
        <f aca="false">IF(L251="","",L251/3*100)</f>
        <v/>
      </c>
      <c r="AC251" s="47" t="str">
        <f aca="false">IF(OR(M251="",AND(N251&lt;&gt;"",N(N251)&lt;Parámetros!$B$15)),"",MAX(0,MIN(100,(M251-1)/4*100)))</f>
        <v/>
      </c>
      <c r="AD251" s="47" t="str">
        <f aca="false">IF(OR(P251="",N(Q251)=0),"",MAX(0,MIN(100,((Q251/(Q251+Parámetros!$B$16))*P251+(Parámetros!$B$16/(Q251+Parámetros!$B$16))*Parámetros!$B$17-0.1)/0.4*100)))</f>
        <v/>
      </c>
      <c r="AE251" s="47" t="str">
        <f aca="false">IF(N(R251)&gt;0,MIN(100,S251/R251*100),"")</f>
        <v/>
      </c>
      <c r="AF251" s="47" t="str">
        <f aca="false">IF(N(U251)&gt;0,MIN(100,T251/(U251*5)*100),"")</f>
        <v/>
      </c>
      <c r="AG251" s="47" t="str">
        <f aca="false">IF(OR(V251="",N(W251)&lt;10),"",(V251-1)/4*100)</f>
        <v/>
      </c>
      <c r="AH251" s="47" t="str">
        <f aca="false">IF($C251="","",COUNT(X251:AG251))</f>
        <v/>
      </c>
      <c r="AI251" s="47" t="str">
        <f aca="false">IF(OR($C251="",N(AH251)&lt;Parámetros!$B$18),"",(IF(ISNUMBER(X251),X251*Parámetros!$B$2,0)+IF(ISNUMBER(Y251),Y251*Parámetros!$B$3,0)+IF(ISNUMBER(Z251),Z251*Parámetros!$B$4,0)+IF(ISNUMBER(AA251),AA251*Parámetros!$B$5,0)+IF(ISNUMBER(AB251),AB251*Parámetros!$B$6,0)+IF(ISNUMBER(AC251),AC251*Parámetros!$B$7,0)+IF(ISNUMBER(AD251),AD251*Parámetros!$B$8,0)+IF(ISNUMBER(AE251),AE251*Parámetros!$B$9,0)+IF(ISNUMBER(AF251),AF251*Parámetros!$B$10,0)+IF(ISNUMBER(AG251),AG251*Parámetros!$B$11,0))/(IF(ISNUMBER(X251),Parámetros!$B$2,0)+IF(ISNUMBER(Y251),Parámetros!$B$3,0)+IF(ISNUMBER(Z251),Parámetros!$B$4,0)+IF(ISNUMBER(AA251),Parámetros!$B$5,0)+IF(ISNUMBER(AB251),Parámetros!$B$6,0)+IF(ISNUMBER(AC251),Parámetros!$B$7,0)+IF(ISNUMBER(AD251),Parámetros!$B$8,0)+IF(ISNUMBER(AE251),Parámetros!$B$9,0)+IF(ISNUMBER(AF251),Parámetros!$B$10,0)+IF(ISNUMBER(AG251),Parámetros!$B$11,0)))</f>
        <v/>
      </c>
      <c r="AJ251" s="47" t="n">
        <f aca="false">IF(AND(ISNUMBER(Y251),N(Y251)&lt;60),69.9,IF(OR(AND(ISNUMBER(AE251),N(AE251)&lt;80),AND(ISNUMBER(AC251),N(AC251)&lt;50,N(O251)&gt;=2)),84.9,100))</f>
        <v>100</v>
      </c>
      <c r="AK251" s="47" t="str">
        <f aca="false">IF(AI251="","",MIN(AI251,AJ251))</f>
        <v/>
      </c>
      <c r="AL251" s="47" t="str">
        <f aca="false">IF($C251="","",IF(AK251="","Gris — menos de 3 fuentes",IF(AND(AK251&lt;Parámetros!$B$14,N251&lt;&gt;"",N(N251)&lt;Parámetros!$B$15,N(Y251)&gt;=60),"Gris — repetir observación",IF(AK251&gt;=Parámetros!$B$13,"Verde",IF(AK251&gt;=Parámetros!$B$14,"Amarillo","Rojo")))))</f>
        <v/>
      </c>
      <c r="AM251" s="47" t="str">
        <f aca="false">IF($C251="","",IF(AND(ISNUMBER(Y251),N(Y251)&lt;60),"Ejecución &lt; 60 %: rojo automático",IF(AND(ISNUMBER(AE251),N(AE251)&lt;80),"PIAR &lt; 80 %: máximo amarillo",IF(AND(ISNUMBER(AC251),N(AC251)&lt;50,N(O251)&gt;=2),"Observación &lt; 50: máximo amarillo",IF(AND(N251&lt;&gt;"",N(N251)&lt;Parámetros!$B$15),"κ &lt; 0,60: observación descartada, repetir","")))))</f>
        <v/>
      </c>
    </row>
    <row r="252" customFormat="false" ht="15" hidden="false" customHeight="fals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7" t="str">
        <f aca="false">IF(N(E252)&gt;0,MIN(100,F252/E252*100),"")</f>
        <v/>
      </c>
      <c r="Y252" s="47" t="str">
        <f aca="false">IF(N(G252)&gt;0,MIN(100,H252/G252*100),"")</f>
        <v/>
      </c>
      <c r="Z252" s="47" t="str">
        <f aca="false">IF(N(I252)&gt;0,MIN(100,J252/I252*100),"")</f>
        <v/>
      </c>
      <c r="AA252" s="47" t="str">
        <f aca="false">IF(K252="","",K252/24*100)</f>
        <v/>
      </c>
      <c r="AB252" s="47" t="str">
        <f aca="false">IF(L252="","",L252/3*100)</f>
        <v/>
      </c>
      <c r="AC252" s="47" t="str">
        <f aca="false">IF(OR(M252="",AND(N252&lt;&gt;"",N(N252)&lt;Parámetros!$B$15)),"",MAX(0,MIN(100,(M252-1)/4*100)))</f>
        <v/>
      </c>
      <c r="AD252" s="47" t="str">
        <f aca="false">IF(OR(P252="",N(Q252)=0),"",MAX(0,MIN(100,((Q252/(Q252+Parámetros!$B$16))*P252+(Parámetros!$B$16/(Q252+Parámetros!$B$16))*Parámetros!$B$17-0.1)/0.4*100)))</f>
        <v/>
      </c>
      <c r="AE252" s="47" t="str">
        <f aca="false">IF(N(R252)&gt;0,MIN(100,S252/R252*100),"")</f>
        <v/>
      </c>
      <c r="AF252" s="47" t="str">
        <f aca="false">IF(N(U252)&gt;0,MIN(100,T252/(U252*5)*100),"")</f>
        <v/>
      </c>
      <c r="AG252" s="47" t="str">
        <f aca="false">IF(OR(V252="",N(W252)&lt;10),"",(V252-1)/4*100)</f>
        <v/>
      </c>
      <c r="AH252" s="47" t="str">
        <f aca="false">IF($C252="","",COUNT(X252:AG252))</f>
        <v/>
      </c>
      <c r="AI252" s="47" t="str">
        <f aca="false">IF(OR($C252="",N(AH252)&lt;Parámetros!$B$18),"",(IF(ISNUMBER(X252),X252*Parámetros!$B$2,0)+IF(ISNUMBER(Y252),Y252*Parámetros!$B$3,0)+IF(ISNUMBER(Z252),Z252*Parámetros!$B$4,0)+IF(ISNUMBER(AA252),AA252*Parámetros!$B$5,0)+IF(ISNUMBER(AB252),AB252*Parámetros!$B$6,0)+IF(ISNUMBER(AC252),AC252*Parámetros!$B$7,0)+IF(ISNUMBER(AD252),AD252*Parámetros!$B$8,0)+IF(ISNUMBER(AE252),AE252*Parámetros!$B$9,0)+IF(ISNUMBER(AF252),AF252*Parámetros!$B$10,0)+IF(ISNUMBER(AG252),AG252*Parámetros!$B$11,0))/(IF(ISNUMBER(X252),Parámetros!$B$2,0)+IF(ISNUMBER(Y252),Parámetros!$B$3,0)+IF(ISNUMBER(Z252),Parámetros!$B$4,0)+IF(ISNUMBER(AA252),Parámetros!$B$5,0)+IF(ISNUMBER(AB252),Parámetros!$B$6,0)+IF(ISNUMBER(AC252),Parámetros!$B$7,0)+IF(ISNUMBER(AD252),Parámetros!$B$8,0)+IF(ISNUMBER(AE252),Parámetros!$B$9,0)+IF(ISNUMBER(AF252),Parámetros!$B$10,0)+IF(ISNUMBER(AG252),Parámetros!$B$11,0)))</f>
        <v/>
      </c>
      <c r="AJ252" s="47" t="n">
        <f aca="false">IF(AND(ISNUMBER(Y252),N(Y252)&lt;60),69.9,IF(OR(AND(ISNUMBER(AE252),N(AE252)&lt;80),AND(ISNUMBER(AC252),N(AC252)&lt;50,N(O252)&gt;=2)),84.9,100))</f>
        <v>100</v>
      </c>
      <c r="AK252" s="47" t="str">
        <f aca="false">IF(AI252="","",MIN(AI252,AJ252))</f>
        <v/>
      </c>
      <c r="AL252" s="47" t="str">
        <f aca="false">IF($C252="","",IF(AK252="","Gris — menos de 3 fuentes",IF(AND(AK252&lt;Parámetros!$B$14,N252&lt;&gt;"",N(N252)&lt;Parámetros!$B$15,N(Y252)&gt;=60),"Gris — repetir observación",IF(AK252&gt;=Parámetros!$B$13,"Verde",IF(AK252&gt;=Parámetros!$B$14,"Amarillo","Rojo")))))</f>
        <v/>
      </c>
      <c r="AM252" s="47" t="str">
        <f aca="false">IF($C252="","",IF(AND(ISNUMBER(Y252),N(Y252)&lt;60),"Ejecución &lt; 60 %: rojo automático",IF(AND(ISNUMBER(AE252),N(AE252)&lt;80),"PIAR &lt; 80 %: máximo amarillo",IF(AND(ISNUMBER(AC252),N(AC252)&lt;50,N(O252)&gt;=2),"Observación &lt; 50: máximo amarillo",IF(AND(N252&lt;&gt;"",N(N252)&lt;Parámetros!$B$15),"κ &lt; 0,60: observación descartada, repetir","")))))</f>
        <v/>
      </c>
    </row>
    <row r="253" customFormat="false" ht="15" hidden="false" customHeight="fals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7" t="str">
        <f aca="false">IF(N(E253)&gt;0,MIN(100,F253/E253*100),"")</f>
        <v/>
      </c>
      <c r="Y253" s="47" t="str">
        <f aca="false">IF(N(G253)&gt;0,MIN(100,H253/G253*100),"")</f>
        <v/>
      </c>
      <c r="Z253" s="47" t="str">
        <f aca="false">IF(N(I253)&gt;0,MIN(100,J253/I253*100),"")</f>
        <v/>
      </c>
      <c r="AA253" s="47" t="str">
        <f aca="false">IF(K253="","",K253/24*100)</f>
        <v/>
      </c>
      <c r="AB253" s="47" t="str">
        <f aca="false">IF(L253="","",L253/3*100)</f>
        <v/>
      </c>
      <c r="AC253" s="47" t="str">
        <f aca="false">IF(OR(M253="",AND(N253&lt;&gt;"",N(N253)&lt;Parámetros!$B$15)),"",MAX(0,MIN(100,(M253-1)/4*100)))</f>
        <v/>
      </c>
      <c r="AD253" s="47" t="str">
        <f aca="false">IF(OR(P253="",N(Q253)=0),"",MAX(0,MIN(100,((Q253/(Q253+Parámetros!$B$16))*P253+(Parámetros!$B$16/(Q253+Parámetros!$B$16))*Parámetros!$B$17-0.1)/0.4*100)))</f>
        <v/>
      </c>
      <c r="AE253" s="47" t="str">
        <f aca="false">IF(N(R253)&gt;0,MIN(100,S253/R253*100),"")</f>
        <v/>
      </c>
      <c r="AF253" s="47" t="str">
        <f aca="false">IF(N(U253)&gt;0,MIN(100,T253/(U253*5)*100),"")</f>
        <v/>
      </c>
      <c r="AG253" s="47" t="str">
        <f aca="false">IF(OR(V253="",N(W253)&lt;10),"",(V253-1)/4*100)</f>
        <v/>
      </c>
      <c r="AH253" s="47" t="str">
        <f aca="false">IF($C253="","",COUNT(X253:AG253))</f>
        <v/>
      </c>
      <c r="AI253" s="47" t="str">
        <f aca="false">IF(OR($C253="",N(AH253)&lt;Parámetros!$B$18),"",(IF(ISNUMBER(X253),X253*Parámetros!$B$2,0)+IF(ISNUMBER(Y253),Y253*Parámetros!$B$3,0)+IF(ISNUMBER(Z253),Z253*Parámetros!$B$4,0)+IF(ISNUMBER(AA253),AA253*Parámetros!$B$5,0)+IF(ISNUMBER(AB253),AB253*Parámetros!$B$6,0)+IF(ISNUMBER(AC253),AC253*Parámetros!$B$7,0)+IF(ISNUMBER(AD253),AD253*Parámetros!$B$8,0)+IF(ISNUMBER(AE253),AE253*Parámetros!$B$9,0)+IF(ISNUMBER(AF253),AF253*Parámetros!$B$10,0)+IF(ISNUMBER(AG253),AG253*Parámetros!$B$11,0))/(IF(ISNUMBER(X253),Parámetros!$B$2,0)+IF(ISNUMBER(Y253),Parámetros!$B$3,0)+IF(ISNUMBER(Z253),Parámetros!$B$4,0)+IF(ISNUMBER(AA253),Parámetros!$B$5,0)+IF(ISNUMBER(AB253),Parámetros!$B$6,0)+IF(ISNUMBER(AC253),Parámetros!$B$7,0)+IF(ISNUMBER(AD253),Parámetros!$B$8,0)+IF(ISNUMBER(AE253),Parámetros!$B$9,0)+IF(ISNUMBER(AF253),Parámetros!$B$10,0)+IF(ISNUMBER(AG253),Parámetros!$B$11,0)))</f>
        <v/>
      </c>
      <c r="AJ253" s="47" t="n">
        <f aca="false">IF(AND(ISNUMBER(Y253),N(Y253)&lt;60),69.9,IF(OR(AND(ISNUMBER(AE253),N(AE253)&lt;80),AND(ISNUMBER(AC253),N(AC253)&lt;50,N(O253)&gt;=2)),84.9,100))</f>
        <v>100</v>
      </c>
      <c r="AK253" s="47" t="str">
        <f aca="false">IF(AI253="","",MIN(AI253,AJ253))</f>
        <v/>
      </c>
      <c r="AL253" s="47" t="str">
        <f aca="false">IF($C253="","",IF(AK253="","Gris — menos de 3 fuentes",IF(AND(AK253&lt;Parámetros!$B$14,N253&lt;&gt;"",N(N253)&lt;Parámetros!$B$15,N(Y253)&gt;=60),"Gris — repetir observación",IF(AK253&gt;=Parámetros!$B$13,"Verde",IF(AK253&gt;=Parámetros!$B$14,"Amarillo","Rojo")))))</f>
        <v/>
      </c>
      <c r="AM253" s="47" t="str">
        <f aca="false">IF($C253="","",IF(AND(ISNUMBER(Y253),N(Y253)&lt;60),"Ejecución &lt; 60 %: rojo automático",IF(AND(ISNUMBER(AE253),N(AE253)&lt;80),"PIAR &lt; 80 %: máximo amarillo",IF(AND(ISNUMBER(AC253),N(AC253)&lt;50,N(O253)&gt;=2),"Observación &lt; 50: máximo amarillo",IF(AND(N253&lt;&gt;"",N(N253)&lt;Parámetros!$B$15),"κ &lt; 0,60: observación descartada, repetir","")))))</f>
        <v/>
      </c>
    </row>
    <row r="254" customFormat="false" ht="15" hidden="false" customHeight="fals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7" t="str">
        <f aca="false">IF(N(E254)&gt;0,MIN(100,F254/E254*100),"")</f>
        <v/>
      </c>
      <c r="Y254" s="47" t="str">
        <f aca="false">IF(N(G254)&gt;0,MIN(100,H254/G254*100),"")</f>
        <v/>
      </c>
      <c r="Z254" s="47" t="str">
        <f aca="false">IF(N(I254)&gt;0,MIN(100,J254/I254*100),"")</f>
        <v/>
      </c>
      <c r="AA254" s="47" t="str">
        <f aca="false">IF(K254="","",K254/24*100)</f>
        <v/>
      </c>
      <c r="AB254" s="47" t="str">
        <f aca="false">IF(L254="","",L254/3*100)</f>
        <v/>
      </c>
      <c r="AC254" s="47" t="str">
        <f aca="false">IF(OR(M254="",AND(N254&lt;&gt;"",N(N254)&lt;Parámetros!$B$15)),"",MAX(0,MIN(100,(M254-1)/4*100)))</f>
        <v/>
      </c>
      <c r="AD254" s="47" t="str">
        <f aca="false">IF(OR(P254="",N(Q254)=0),"",MAX(0,MIN(100,((Q254/(Q254+Parámetros!$B$16))*P254+(Parámetros!$B$16/(Q254+Parámetros!$B$16))*Parámetros!$B$17-0.1)/0.4*100)))</f>
        <v/>
      </c>
      <c r="AE254" s="47" t="str">
        <f aca="false">IF(N(R254)&gt;0,MIN(100,S254/R254*100),"")</f>
        <v/>
      </c>
      <c r="AF254" s="47" t="str">
        <f aca="false">IF(N(U254)&gt;0,MIN(100,T254/(U254*5)*100),"")</f>
        <v/>
      </c>
      <c r="AG254" s="47" t="str">
        <f aca="false">IF(OR(V254="",N(W254)&lt;10),"",(V254-1)/4*100)</f>
        <v/>
      </c>
      <c r="AH254" s="47" t="str">
        <f aca="false">IF($C254="","",COUNT(X254:AG254))</f>
        <v/>
      </c>
      <c r="AI254" s="47" t="str">
        <f aca="false">IF(OR($C254="",N(AH254)&lt;Parámetros!$B$18),"",(IF(ISNUMBER(X254),X254*Parámetros!$B$2,0)+IF(ISNUMBER(Y254),Y254*Parámetros!$B$3,0)+IF(ISNUMBER(Z254),Z254*Parámetros!$B$4,0)+IF(ISNUMBER(AA254),AA254*Parámetros!$B$5,0)+IF(ISNUMBER(AB254),AB254*Parámetros!$B$6,0)+IF(ISNUMBER(AC254),AC254*Parámetros!$B$7,0)+IF(ISNUMBER(AD254),AD254*Parámetros!$B$8,0)+IF(ISNUMBER(AE254),AE254*Parámetros!$B$9,0)+IF(ISNUMBER(AF254),AF254*Parámetros!$B$10,0)+IF(ISNUMBER(AG254),AG254*Parámetros!$B$11,0))/(IF(ISNUMBER(X254),Parámetros!$B$2,0)+IF(ISNUMBER(Y254),Parámetros!$B$3,0)+IF(ISNUMBER(Z254),Parámetros!$B$4,0)+IF(ISNUMBER(AA254),Parámetros!$B$5,0)+IF(ISNUMBER(AB254),Parámetros!$B$6,0)+IF(ISNUMBER(AC254),Parámetros!$B$7,0)+IF(ISNUMBER(AD254),Parámetros!$B$8,0)+IF(ISNUMBER(AE254),Parámetros!$B$9,0)+IF(ISNUMBER(AF254),Parámetros!$B$10,0)+IF(ISNUMBER(AG254),Parámetros!$B$11,0)))</f>
        <v/>
      </c>
      <c r="AJ254" s="47" t="n">
        <f aca="false">IF(AND(ISNUMBER(Y254),N(Y254)&lt;60),69.9,IF(OR(AND(ISNUMBER(AE254),N(AE254)&lt;80),AND(ISNUMBER(AC254),N(AC254)&lt;50,N(O254)&gt;=2)),84.9,100))</f>
        <v>100</v>
      </c>
      <c r="AK254" s="47" t="str">
        <f aca="false">IF(AI254="","",MIN(AI254,AJ254))</f>
        <v/>
      </c>
      <c r="AL254" s="47" t="str">
        <f aca="false">IF($C254="","",IF(AK254="","Gris — menos de 3 fuentes",IF(AND(AK254&lt;Parámetros!$B$14,N254&lt;&gt;"",N(N254)&lt;Parámetros!$B$15,N(Y254)&gt;=60),"Gris — repetir observación",IF(AK254&gt;=Parámetros!$B$13,"Verde",IF(AK254&gt;=Parámetros!$B$14,"Amarillo","Rojo")))))</f>
        <v/>
      </c>
      <c r="AM254" s="47" t="str">
        <f aca="false">IF($C254="","",IF(AND(ISNUMBER(Y254),N(Y254)&lt;60),"Ejecución &lt; 60 %: rojo automático",IF(AND(ISNUMBER(AE254),N(AE254)&lt;80),"PIAR &lt; 80 %: máximo amarillo",IF(AND(ISNUMBER(AC254),N(AC254)&lt;50,N(O254)&gt;=2),"Observación &lt; 50: máximo amarillo",IF(AND(N254&lt;&gt;"",N(N254)&lt;Parámetros!$B$15),"κ &lt; 0,60: observación descartada, repetir","")))))</f>
        <v/>
      </c>
    </row>
    <row r="255" customFormat="false" ht="15" hidden="false" customHeight="fals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7" t="str">
        <f aca="false">IF(N(E255)&gt;0,MIN(100,F255/E255*100),"")</f>
        <v/>
      </c>
      <c r="Y255" s="47" t="str">
        <f aca="false">IF(N(G255)&gt;0,MIN(100,H255/G255*100),"")</f>
        <v/>
      </c>
      <c r="Z255" s="47" t="str">
        <f aca="false">IF(N(I255)&gt;0,MIN(100,J255/I255*100),"")</f>
        <v/>
      </c>
      <c r="AA255" s="47" t="str">
        <f aca="false">IF(K255="","",K255/24*100)</f>
        <v/>
      </c>
      <c r="AB255" s="47" t="str">
        <f aca="false">IF(L255="","",L255/3*100)</f>
        <v/>
      </c>
      <c r="AC255" s="47" t="str">
        <f aca="false">IF(OR(M255="",AND(N255&lt;&gt;"",N(N255)&lt;Parámetros!$B$15)),"",MAX(0,MIN(100,(M255-1)/4*100)))</f>
        <v/>
      </c>
      <c r="AD255" s="47" t="str">
        <f aca="false">IF(OR(P255="",N(Q255)=0),"",MAX(0,MIN(100,((Q255/(Q255+Parámetros!$B$16))*P255+(Parámetros!$B$16/(Q255+Parámetros!$B$16))*Parámetros!$B$17-0.1)/0.4*100)))</f>
        <v/>
      </c>
      <c r="AE255" s="47" t="str">
        <f aca="false">IF(N(R255)&gt;0,MIN(100,S255/R255*100),"")</f>
        <v/>
      </c>
      <c r="AF255" s="47" t="str">
        <f aca="false">IF(N(U255)&gt;0,MIN(100,T255/(U255*5)*100),"")</f>
        <v/>
      </c>
      <c r="AG255" s="47" t="str">
        <f aca="false">IF(OR(V255="",N(W255)&lt;10),"",(V255-1)/4*100)</f>
        <v/>
      </c>
      <c r="AH255" s="47" t="str">
        <f aca="false">IF($C255="","",COUNT(X255:AG255))</f>
        <v/>
      </c>
      <c r="AI255" s="47" t="str">
        <f aca="false">IF(OR($C255="",N(AH255)&lt;Parámetros!$B$18),"",(IF(ISNUMBER(X255),X255*Parámetros!$B$2,0)+IF(ISNUMBER(Y255),Y255*Parámetros!$B$3,0)+IF(ISNUMBER(Z255),Z255*Parámetros!$B$4,0)+IF(ISNUMBER(AA255),AA255*Parámetros!$B$5,0)+IF(ISNUMBER(AB255),AB255*Parámetros!$B$6,0)+IF(ISNUMBER(AC255),AC255*Parámetros!$B$7,0)+IF(ISNUMBER(AD255),AD255*Parámetros!$B$8,0)+IF(ISNUMBER(AE255),AE255*Parámetros!$B$9,0)+IF(ISNUMBER(AF255),AF255*Parámetros!$B$10,0)+IF(ISNUMBER(AG255),AG255*Parámetros!$B$11,0))/(IF(ISNUMBER(X255),Parámetros!$B$2,0)+IF(ISNUMBER(Y255),Parámetros!$B$3,0)+IF(ISNUMBER(Z255),Parámetros!$B$4,0)+IF(ISNUMBER(AA255),Parámetros!$B$5,0)+IF(ISNUMBER(AB255),Parámetros!$B$6,0)+IF(ISNUMBER(AC255),Parámetros!$B$7,0)+IF(ISNUMBER(AD255),Parámetros!$B$8,0)+IF(ISNUMBER(AE255),Parámetros!$B$9,0)+IF(ISNUMBER(AF255),Parámetros!$B$10,0)+IF(ISNUMBER(AG255),Parámetros!$B$11,0)))</f>
        <v/>
      </c>
      <c r="AJ255" s="47" t="n">
        <f aca="false">IF(AND(ISNUMBER(Y255),N(Y255)&lt;60),69.9,IF(OR(AND(ISNUMBER(AE255),N(AE255)&lt;80),AND(ISNUMBER(AC255),N(AC255)&lt;50,N(O255)&gt;=2)),84.9,100))</f>
        <v>100</v>
      </c>
      <c r="AK255" s="47" t="str">
        <f aca="false">IF(AI255="","",MIN(AI255,AJ255))</f>
        <v/>
      </c>
      <c r="AL255" s="47" t="str">
        <f aca="false">IF($C255="","",IF(AK255="","Gris — menos de 3 fuentes",IF(AND(AK255&lt;Parámetros!$B$14,N255&lt;&gt;"",N(N255)&lt;Parámetros!$B$15,N(Y255)&gt;=60),"Gris — repetir observación",IF(AK255&gt;=Parámetros!$B$13,"Verde",IF(AK255&gt;=Parámetros!$B$14,"Amarillo","Rojo")))))</f>
        <v/>
      </c>
      <c r="AM255" s="47" t="str">
        <f aca="false">IF($C255="","",IF(AND(ISNUMBER(Y255),N(Y255)&lt;60),"Ejecución &lt; 60 %: rojo automático",IF(AND(ISNUMBER(AE255),N(AE255)&lt;80),"PIAR &lt; 80 %: máximo amarillo",IF(AND(ISNUMBER(AC255),N(AC255)&lt;50,N(O255)&gt;=2),"Observación &lt; 50: máximo amarillo",IF(AND(N255&lt;&gt;"",N(N255)&lt;Parámetros!$B$15),"κ &lt; 0,60: observación descartada, repetir","")))))</f>
        <v/>
      </c>
    </row>
    <row r="256" customFormat="false" ht="15" hidden="false" customHeight="fals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7" t="str">
        <f aca="false">IF(N(E256)&gt;0,MIN(100,F256/E256*100),"")</f>
        <v/>
      </c>
      <c r="Y256" s="47" t="str">
        <f aca="false">IF(N(G256)&gt;0,MIN(100,H256/G256*100),"")</f>
        <v/>
      </c>
      <c r="Z256" s="47" t="str">
        <f aca="false">IF(N(I256)&gt;0,MIN(100,J256/I256*100),"")</f>
        <v/>
      </c>
      <c r="AA256" s="47" t="str">
        <f aca="false">IF(K256="","",K256/24*100)</f>
        <v/>
      </c>
      <c r="AB256" s="47" t="str">
        <f aca="false">IF(L256="","",L256/3*100)</f>
        <v/>
      </c>
      <c r="AC256" s="47" t="str">
        <f aca="false">IF(OR(M256="",AND(N256&lt;&gt;"",N(N256)&lt;Parámetros!$B$15)),"",MAX(0,MIN(100,(M256-1)/4*100)))</f>
        <v/>
      </c>
      <c r="AD256" s="47" t="str">
        <f aca="false">IF(OR(P256="",N(Q256)=0),"",MAX(0,MIN(100,((Q256/(Q256+Parámetros!$B$16))*P256+(Parámetros!$B$16/(Q256+Parámetros!$B$16))*Parámetros!$B$17-0.1)/0.4*100)))</f>
        <v/>
      </c>
      <c r="AE256" s="47" t="str">
        <f aca="false">IF(N(R256)&gt;0,MIN(100,S256/R256*100),"")</f>
        <v/>
      </c>
      <c r="AF256" s="47" t="str">
        <f aca="false">IF(N(U256)&gt;0,MIN(100,T256/(U256*5)*100),"")</f>
        <v/>
      </c>
      <c r="AG256" s="47" t="str">
        <f aca="false">IF(OR(V256="",N(W256)&lt;10),"",(V256-1)/4*100)</f>
        <v/>
      </c>
      <c r="AH256" s="47" t="str">
        <f aca="false">IF($C256="","",COUNT(X256:AG256))</f>
        <v/>
      </c>
      <c r="AI256" s="47" t="str">
        <f aca="false">IF(OR($C256="",N(AH256)&lt;Parámetros!$B$18),"",(IF(ISNUMBER(X256),X256*Parámetros!$B$2,0)+IF(ISNUMBER(Y256),Y256*Parámetros!$B$3,0)+IF(ISNUMBER(Z256),Z256*Parámetros!$B$4,0)+IF(ISNUMBER(AA256),AA256*Parámetros!$B$5,0)+IF(ISNUMBER(AB256),AB256*Parámetros!$B$6,0)+IF(ISNUMBER(AC256),AC256*Parámetros!$B$7,0)+IF(ISNUMBER(AD256),AD256*Parámetros!$B$8,0)+IF(ISNUMBER(AE256),AE256*Parámetros!$B$9,0)+IF(ISNUMBER(AF256),AF256*Parámetros!$B$10,0)+IF(ISNUMBER(AG256),AG256*Parámetros!$B$11,0))/(IF(ISNUMBER(X256),Parámetros!$B$2,0)+IF(ISNUMBER(Y256),Parámetros!$B$3,0)+IF(ISNUMBER(Z256),Parámetros!$B$4,0)+IF(ISNUMBER(AA256),Parámetros!$B$5,0)+IF(ISNUMBER(AB256),Parámetros!$B$6,0)+IF(ISNUMBER(AC256),Parámetros!$B$7,0)+IF(ISNUMBER(AD256),Parámetros!$B$8,0)+IF(ISNUMBER(AE256),Parámetros!$B$9,0)+IF(ISNUMBER(AF256),Parámetros!$B$10,0)+IF(ISNUMBER(AG256),Parámetros!$B$11,0)))</f>
        <v/>
      </c>
      <c r="AJ256" s="47" t="n">
        <f aca="false">IF(AND(ISNUMBER(Y256),N(Y256)&lt;60),69.9,IF(OR(AND(ISNUMBER(AE256),N(AE256)&lt;80),AND(ISNUMBER(AC256),N(AC256)&lt;50,N(O256)&gt;=2)),84.9,100))</f>
        <v>100</v>
      </c>
      <c r="AK256" s="47" t="str">
        <f aca="false">IF(AI256="","",MIN(AI256,AJ256))</f>
        <v/>
      </c>
      <c r="AL256" s="47" t="str">
        <f aca="false">IF($C256="","",IF(AK256="","Gris — menos de 3 fuentes",IF(AND(AK256&lt;Parámetros!$B$14,N256&lt;&gt;"",N(N256)&lt;Parámetros!$B$15,N(Y256)&gt;=60),"Gris — repetir observación",IF(AK256&gt;=Parámetros!$B$13,"Verde",IF(AK256&gt;=Parámetros!$B$14,"Amarillo","Rojo")))))</f>
        <v/>
      </c>
      <c r="AM256" s="47" t="str">
        <f aca="false">IF($C256="","",IF(AND(ISNUMBER(Y256),N(Y256)&lt;60),"Ejecución &lt; 60 %: rojo automático",IF(AND(ISNUMBER(AE256),N(AE256)&lt;80),"PIAR &lt; 80 %: máximo amarillo",IF(AND(ISNUMBER(AC256),N(AC256)&lt;50,N(O256)&gt;=2),"Observación &lt; 50: máximo amarillo",IF(AND(N256&lt;&gt;"",N(N256)&lt;Parámetros!$B$15),"κ &lt; 0,60: observación descartada, repetir","")))))</f>
        <v/>
      </c>
    </row>
    <row r="257" customFormat="false" ht="15" hidden="false" customHeight="fals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7" t="str">
        <f aca="false">IF(N(E257)&gt;0,MIN(100,F257/E257*100),"")</f>
        <v/>
      </c>
      <c r="Y257" s="47" t="str">
        <f aca="false">IF(N(G257)&gt;0,MIN(100,H257/G257*100),"")</f>
        <v/>
      </c>
      <c r="Z257" s="47" t="str">
        <f aca="false">IF(N(I257)&gt;0,MIN(100,J257/I257*100),"")</f>
        <v/>
      </c>
      <c r="AA257" s="47" t="str">
        <f aca="false">IF(K257="","",K257/24*100)</f>
        <v/>
      </c>
      <c r="AB257" s="47" t="str">
        <f aca="false">IF(L257="","",L257/3*100)</f>
        <v/>
      </c>
      <c r="AC257" s="47" t="str">
        <f aca="false">IF(OR(M257="",AND(N257&lt;&gt;"",N(N257)&lt;Parámetros!$B$15)),"",MAX(0,MIN(100,(M257-1)/4*100)))</f>
        <v/>
      </c>
      <c r="AD257" s="47" t="str">
        <f aca="false">IF(OR(P257="",N(Q257)=0),"",MAX(0,MIN(100,((Q257/(Q257+Parámetros!$B$16))*P257+(Parámetros!$B$16/(Q257+Parámetros!$B$16))*Parámetros!$B$17-0.1)/0.4*100)))</f>
        <v/>
      </c>
      <c r="AE257" s="47" t="str">
        <f aca="false">IF(N(R257)&gt;0,MIN(100,S257/R257*100),"")</f>
        <v/>
      </c>
      <c r="AF257" s="47" t="str">
        <f aca="false">IF(N(U257)&gt;0,MIN(100,T257/(U257*5)*100),"")</f>
        <v/>
      </c>
      <c r="AG257" s="47" t="str">
        <f aca="false">IF(OR(V257="",N(W257)&lt;10),"",(V257-1)/4*100)</f>
        <v/>
      </c>
      <c r="AH257" s="47" t="str">
        <f aca="false">IF($C257="","",COUNT(X257:AG257))</f>
        <v/>
      </c>
      <c r="AI257" s="47" t="str">
        <f aca="false">IF(OR($C257="",N(AH257)&lt;Parámetros!$B$18),"",(IF(ISNUMBER(X257),X257*Parámetros!$B$2,0)+IF(ISNUMBER(Y257),Y257*Parámetros!$B$3,0)+IF(ISNUMBER(Z257),Z257*Parámetros!$B$4,0)+IF(ISNUMBER(AA257),AA257*Parámetros!$B$5,0)+IF(ISNUMBER(AB257),AB257*Parámetros!$B$6,0)+IF(ISNUMBER(AC257),AC257*Parámetros!$B$7,0)+IF(ISNUMBER(AD257),AD257*Parámetros!$B$8,0)+IF(ISNUMBER(AE257),AE257*Parámetros!$B$9,0)+IF(ISNUMBER(AF257),AF257*Parámetros!$B$10,0)+IF(ISNUMBER(AG257),AG257*Parámetros!$B$11,0))/(IF(ISNUMBER(X257),Parámetros!$B$2,0)+IF(ISNUMBER(Y257),Parámetros!$B$3,0)+IF(ISNUMBER(Z257),Parámetros!$B$4,0)+IF(ISNUMBER(AA257),Parámetros!$B$5,0)+IF(ISNUMBER(AB257),Parámetros!$B$6,0)+IF(ISNUMBER(AC257),Parámetros!$B$7,0)+IF(ISNUMBER(AD257),Parámetros!$B$8,0)+IF(ISNUMBER(AE257),Parámetros!$B$9,0)+IF(ISNUMBER(AF257),Parámetros!$B$10,0)+IF(ISNUMBER(AG257),Parámetros!$B$11,0)))</f>
        <v/>
      </c>
      <c r="AJ257" s="47" t="n">
        <f aca="false">IF(AND(ISNUMBER(Y257),N(Y257)&lt;60),69.9,IF(OR(AND(ISNUMBER(AE257),N(AE257)&lt;80),AND(ISNUMBER(AC257),N(AC257)&lt;50,N(O257)&gt;=2)),84.9,100))</f>
        <v>100</v>
      </c>
      <c r="AK257" s="47" t="str">
        <f aca="false">IF(AI257="","",MIN(AI257,AJ257))</f>
        <v/>
      </c>
      <c r="AL257" s="47" t="str">
        <f aca="false">IF($C257="","",IF(AK257="","Gris — menos de 3 fuentes",IF(AND(AK257&lt;Parámetros!$B$14,N257&lt;&gt;"",N(N257)&lt;Parámetros!$B$15,N(Y257)&gt;=60),"Gris — repetir observación",IF(AK257&gt;=Parámetros!$B$13,"Verde",IF(AK257&gt;=Parámetros!$B$14,"Amarillo","Rojo")))))</f>
        <v/>
      </c>
      <c r="AM257" s="47" t="str">
        <f aca="false">IF($C257="","",IF(AND(ISNUMBER(Y257),N(Y257)&lt;60),"Ejecución &lt; 60 %: rojo automático",IF(AND(ISNUMBER(AE257),N(AE257)&lt;80),"PIAR &lt; 80 %: máximo amarillo",IF(AND(ISNUMBER(AC257),N(AC257)&lt;50,N(O257)&gt;=2),"Observación &lt; 50: máximo amarillo",IF(AND(N257&lt;&gt;"",N(N257)&lt;Parámetros!$B$15),"κ &lt; 0,60: observación descartada, repetir","")))))</f>
        <v/>
      </c>
    </row>
    <row r="258" customFormat="false" ht="15" hidden="false" customHeight="fals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7" t="str">
        <f aca="false">IF(N(E258)&gt;0,MIN(100,F258/E258*100),"")</f>
        <v/>
      </c>
      <c r="Y258" s="47" t="str">
        <f aca="false">IF(N(G258)&gt;0,MIN(100,H258/G258*100),"")</f>
        <v/>
      </c>
      <c r="Z258" s="47" t="str">
        <f aca="false">IF(N(I258)&gt;0,MIN(100,J258/I258*100),"")</f>
        <v/>
      </c>
      <c r="AA258" s="47" t="str">
        <f aca="false">IF(K258="","",K258/24*100)</f>
        <v/>
      </c>
      <c r="AB258" s="47" t="str">
        <f aca="false">IF(L258="","",L258/3*100)</f>
        <v/>
      </c>
      <c r="AC258" s="47" t="str">
        <f aca="false">IF(OR(M258="",AND(N258&lt;&gt;"",N(N258)&lt;Parámetros!$B$15)),"",MAX(0,MIN(100,(M258-1)/4*100)))</f>
        <v/>
      </c>
      <c r="AD258" s="47" t="str">
        <f aca="false">IF(OR(P258="",N(Q258)=0),"",MAX(0,MIN(100,((Q258/(Q258+Parámetros!$B$16))*P258+(Parámetros!$B$16/(Q258+Parámetros!$B$16))*Parámetros!$B$17-0.1)/0.4*100)))</f>
        <v/>
      </c>
      <c r="AE258" s="47" t="str">
        <f aca="false">IF(N(R258)&gt;0,MIN(100,S258/R258*100),"")</f>
        <v/>
      </c>
      <c r="AF258" s="47" t="str">
        <f aca="false">IF(N(U258)&gt;0,MIN(100,T258/(U258*5)*100),"")</f>
        <v/>
      </c>
      <c r="AG258" s="47" t="str">
        <f aca="false">IF(OR(V258="",N(W258)&lt;10),"",(V258-1)/4*100)</f>
        <v/>
      </c>
      <c r="AH258" s="47" t="str">
        <f aca="false">IF($C258="","",COUNT(X258:AG258))</f>
        <v/>
      </c>
      <c r="AI258" s="47" t="str">
        <f aca="false">IF(OR($C258="",N(AH258)&lt;Parámetros!$B$18),"",(IF(ISNUMBER(X258),X258*Parámetros!$B$2,0)+IF(ISNUMBER(Y258),Y258*Parámetros!$B$3,0)+IF(ISNUMBER(Z258),Z258*Parámetros!$B$4,0)+IF(ISNUMBER(AA258),AA258*Parámetros!$B$5,0)+IF(ISNUMBER(AB258),AB258*Parámetros!$B$6,0)+IF(ISNUMBER(AC258),AC258*Parámetros!$B$7,0)+IF(ISNUMBER(AD258),AD258*Parámetros!$B$8,0)+IF(ISNUMBER(AE258),AE258*Parámetros!$B$9,0)+IF(ISNUMBER(AF258),AF258*Parámetros!$B$10,0)+IF(ISNUMBER(AG258),AG258*Parámetros!$B$11,0))/(IF(ISNUMBER(X258),Parámetros!$B$2,0)+IF(ISNUMBER(Y258),Parámetros!$B$3,0)+IF(ISNUMBER(Z258),Parámetros!$B$4,0)+IF(ISNUMBER(AA258),Parámetros!$B$5,0)+IF(ISNUMBER(AB258),Parámetros!$B$6,0)+IF(ISNUMBER(AC258),Parámetros!$B$7,0)+IF(ISNUMBER(AD258),Parámetros!$B$8,0)+IF(ISNUMBER(AE258),Parámetros!$B$9,0)+IF(ISNUMBER(AF258),Parámetros!$B$10,0)+IF(ISNUMBER(AG258),Parámetros!$B$11,0)))</f>
        <v/>
      </c>
      <c r="AJ258" s="47" t="n">
        <f aca="false">IF(AND(ISNUMBER(Y258),N(Y258)&lt;60),69.9,IF(OR(AND(ISNUMBER(AE258),N(AE258)&lt;80),AND(ISNUMBER(AC258),N(AC258)&lt;50,N(O258)&gt;=2)),84.9,100))</f>
        <v>100</v>
      </c>
      <c r="AK258" s="47" t="str">
        <f aca="false">IF(AI258="","",MIN(AI258,AJ258))</f>
        <v/>
      </c>
      <c r="AL258" s="47" t="str">
        <f aca="false">IF($C258="","",IF(AK258="","Gris — menos de 3 fuentes",IF(AND(AK258&lt;Parámetros!$B$14,N258&lt;&gt;"",N(N258)&lt;Parámetros!$B$15,N(Y258)&gt;=60),"Gris — repetir observación",IF(AK258&gt;=Parámetros!$B$13,"Verde",IF(AK258&gt;=Parámetros!$B$14,"Amarillo","Rojo")))))</f>
        <v/>
      </c>
      <c r="AM258" s="47" t="str">
        <f aca="false">IF($C258="","",IF(AND(ISNUMBER(Y258),N(Y258)&lt;60),"Ejecución &lt; 60 %: rojo automático",IF(AND(ISNUMBER(AE258),N(AE258)&lt;80),"PIAR &lt; 80 %: máximo amarillo",IF(AND(ISNUMBER(AC258),N(AC258)&lt;50,N(O258)&gt;=2),"Observación &lt; 50: máximo amarillo",IF(AND(N258&lt;&gt;"",N(N258)&lt;Parámetros!$B$15),"κ &lt; 0,60: observación descartada, repetir","")))))</f>
        <v/>
      </c>
    </row>
    <row r="259" customFormat="false" ht="15" hidden="false" customHeight="fals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7" t="str">
        <f aca="false">IF(N(E259)&gt;0,MIN(100,F259/E259*100),"")</f>
        <v/>
      </c>
      <c r="Y259" s="47" t="str">
        <f aca="false">IF(N(G259)&gt;0,MIN(100,H259/G259*100),"")</f>
        <v/>
      </c>
      <c r="Z259" s="47" t="str">
        <f aca="false">IF(N(I259)&gt;0,MIN(100,J259/I259*100),"")</f>
        <v/>
      </c>
      <c r="AA259" s="47" t="str">
        <f aca="false">IF(K259="","",K259/24*100)</f>
        <v/>
      </c>
      <c r="AB259" s="47" t="str">
        <f aca="false">IF(L259="","",L259/3*100)</f>
        <v/>
      </c>
      <c r="AC259" s="47" t="str">
        <f aca="false">IF(OR(M259="",AND(N259&lt;&gt;"",N(N259)&lt;Parámetros!$B$15)),"",MAX(0,MIN(100,(M259-1)/4*100)))</f>
        <v/>
      </c>
      <c r="AD259" s="47" t="str">
        <f aca="false">IF(OR(P259="",N(Q259)=0),"",MAX(0,MIN(100,((Q259/(Q259+Parámetros!$B$16))*P259+(Parámetros!$B$16/(Q259+Parámetros!$B$16))*Parámetros!$B$17-0.1)/0.4*100)))</f>
        <v/>
      </c>
      <c r="AE259" s="47" t="str">
        <f aca="false">IF(N(R259)&gt;0,MIN(100,S259/R259*100),"")</f>
        <v/>
      </c>
      <c r="AF259" s="47" t="str">
        <f aca="false">IF(N(U259)&gt;0,MIN(100,T259/(U259*5)*100),"")</f>
        <v/>
      </c>
      <c r="AG259" s="47" t="str">
        <f aca="false">IF(OR(V259="",N(W259)&lt;10),"",(V259-1)/4*100)</f>
        <v/>
      </c>
      <c r="AH259" s="47" t="str">
        <f aca="false">IF($C259="","",COUNT(X259:AG259))</f>
        <v/>
      </c>
      <c r="AI259" s="47" t="str">
        <f aca="false">IF(OR($C259="",N(AH259)&lt;Parámetros!$B$18),"",(IF(ISNUMBER(X259),X259*Parámetros!$B$2,0)+IF(ISNUMBER(Y259),Y259*Parámetros!$B$3,0)+IF(ISNUMBER(Z259),Z259*Parámetros!$B$4,0)+IF(ISNUMBER(AA259),AA259*Parámetros!$B$5,0)+IF(ISNUMBER(AB259),AB259*Parámetros!$B$6,0)+IF(ISNUMBER(AC259),AC259*Parámetros!$B$7,0)+IF(ISNUMBER(AD259),AD259*Parámetros!$B$8,0)+IF(ISNUMBER(AE259),AE259*Parámetros!$B$9,0)+IF(ISNUMBER(AF259),AF259*Parámetros!$B$10,0)+IF(ISNUMBER(AG259),AG259*Parámetros!$B$11,0))/(IF(ISNUMBER(X259),Parámetros!$B$2,0)+IF(ISNUMBER(Y259),Parámetros!$B$3,0)+IF(ISNUMBER(Z259),Parámetros!$B$4,0)+IF(ISNUMBER(AA259),Parámetros!$B$5,0)+IF(ISNUMBER(AB259),Parámetros!$B$6,0)+IF(ISNUMBER(AC259),Parámetros!$B$7,0)+IF(ISNUMBER(AD259),Parámetros!$B$8,0)+IF(ISNUMBER(AE259),Parámetros!$B$9,0)+IF(ISNUMBER(AF259),Parámetros!$B$10,0)+IF(ISNUMBER(AG259),Parámetros!$B$11,0)))</f>
        <v/>
      </c>
      <c r="AJ259" s="47" t="n">
        <f aca="false">IF(AND(ISNUMBER(Y259),N(Y259)&lt;60),69.9,IF(OR(AND(ISNUMBER(AE259),N(AE259)&lt;80),AND(ISNUMBER(AC259),N(AC259)&lt;50,N(O259)&gt;=2)),84.9,100))</f>
        <v>100</v>
      </c>
      <c r="AK259" s="47" t="str">
        <f aca="false">IF(AI259="","",MIN(AI259,AJ259))</f>
        <v/>
      </c>
      <c r="AL259" s="47" t="str">
        <f aca="false">IF($C259="","",IF(AK259="","Gris — menos de 3 fuentes",IF(AND(AK259&lt;Parámetros!$B$14,N259&lt;&gt;"",N(N259)&lt;Parámetros!$B$15,N(Y259)&gt;=60),"Gris — repetir observación",IF(AK259&gt;=Parámetros!$B$13,"Verde",IF(AK259&gt;=Parámetros!$B$14,"Amarillo","Rojo")))))</f>
        <v/>
      </c>
      <c r="AM259" s="47" t="str">
        <f aca="false">IF($C259="","",IF(AND(ISNUMBER(Y259),N(Y259)&lt;60),"Ejecución &lt; 60 %: rojo automático",IF(AND(ISNUMBER(AE259),N(AE259)&lt;80),"PIAR &lt; 80 %: máximo amarillo",IF(AND(ISNUMBER(AC259),N(AC259)&lt;50,N(O259)&gt;=2),"Observación &lt; 50: máximo amarillo",IF(AND(N259&lt;&gt;"",N(N259)&lt;Parámetros!$B$15),"κ &lt; 0,60: observación descartada, repetir","")))))</f>
        <v/>
      </c>
    </row>
    <row r="260" customFormat="false" ht="15" hidden="false" customHeight="fals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7" t="str">
        <f aca="false">IF(N(E260)&gt;0,MIN(100,F260/E260*100),"")</f>
        <v/>
      </c>
      <c r="Y260" s="47" t="str">
        <f aca="false">IF(N(G260)&gt;0,MIN(100,H260/G260*100),"")</f>
        <v/>
      </c>
      <c r="Z260" s="47" t="str">
        <f aca="false">IF(N(I260)&gt;0,MIN(100,J260/I260*100),"")</f>
        <v/>
      </c>
      <c r="AA260" s="47" t="str">
        <f aca="false">IF(K260="","",K260/24*100)</f>
        <v/>
      </c>
      <c r="AB260" s="47" t="str">
        <f aca="false">IF(L260="","",L260/3*100)</f>
        <v/>
      </c>
      <c r="AC260" s="47" t="str">
        <f aca="false">IF(OR(M260="",AND(N260&lt;&gt;"",N(N260)&lt;Parámetros!$B$15)),"",MAX(0,MIN(100,(M260-1)/4*100)))</f>
        <v/>
      </c>
      <c r="AD260" s="47" t="str">
        <f aca="false">IF(OR(P260="",N(Q260)=0),"",MAX(0,MIN(100,((Q260/(Q260+Parámetros!$B$16))*P260+(Parámetros!$B$16/(Q260+Parámetros!$B$16))*Parámetros!$B$17-0.1)/0.4*100)))</f>
        <v/>
      </c>
      <c r="AE260" s="47" t="str">
        <f aca="false">IF(N(R260)&gt;0,MIN(100,S260/R260*100),"")</f>
        <v/>
      </c>
      <c r="AF260" s="47" t="str">
        <f aca="false">IF(N(U260)&gt;0,MIN(100,T260/(U260*5)*100),"")</f>
        <v/>
      </c>
      <c r="AG260" s="47" t="str">
        <f aca="false">IF(OR(V260="",N(W260)&lt;10),"",(V260-1)/4*100)</f>
        <v/>
      </c>
      <c r="AH260" s="47" t="str">
        <f aca="false">IF($C260="","",COUNT(X260:AG260))</f>
        <v/>
      </c>
      <c r="AI260" s="47" t="str">
        <f aca="false">IF(OR($C260="",N(AH260)&lt;Parámetros!$B$18),"",(IF(ISNUMBER(X260),X260*Parámetros!$B$2,0)+IF(ISNUMBER(Y260),Y260*Parámetros!$B$3,0)+IF(ISNUMBER(Z260),Z260*Parámetros!$B$4,0)+IF(ISNUMBER(AA260),AA260*Parámetros!$B$5,0)+IF(ISNUMBER(AB260),AB260*Parámetros!$B$6,0)+IF(ISNUMBER(AC260),AC260*Parámetros!$B$7,0)+IF(ISNUMBER(AD260),AD260*Parámetros!$B$8,0)+IF(ISNUMBER(AE260),AE260*Parámetros!$B$9,0)+IF(ISNUMBER(AF260),AF260*Parámetros!$B$10,0)+IF(ISNUMBER(AG260),AG260*Parámetros!$B$11,0))/(IF(ISNUMBER(X260),Parámetros!$B$2,0)+IF(ISNUMBER(Y260),Parámetros!$B$3,0)+IF(ISNUMBER(Z260),Parámetros!$B$4,0)+IF(ISNUMBER(AA260),Parámetros!$B$5,0)+IF(ISNUMBER(AB260),Parámetros!$B$6,0)+IF(ISNUMBER(AC260),Parámetros!$B$7,0)+IF(ISNUMBER(AD260),Parámetros!$B$8,0)+IF(ISNUMBER(AE260),Parámetros!$B$9,0)+IF(ISNUMBER(AF260),Parámetros!$B$10,0)+IF(ISNUMBER(AG260),Parámetros!$B$11,0)))</f>
        <v/>
      </c>
      <c r="AJ260" s="47" t="n">
        <f aca="false">IF(AND(ISNUMBER(Y260),N(Y260)&lt;60),69.9,IF(OR(AND(ISNUMBER(AE260),N(AE260)&lt;80),AND(ISNUMBER(AC260),N(AC260)&lt;50,N(O260)&gt;=2)),84.9,100))</f>
        <v>100</v>
      </c>
      <c r="AK260" s="47" t="str">
        <f aca="false">IF(AI260="","",MIN(AI260,AJ260))</f>
        <v/>
      </c>
      <c r="AL260" s="47" t="str">
        <f aca="false">IF($C260="","",IF(AK260="","Gris — menos de 3 fuentes",IF(AND(AK260&lt;Parámetros!$B$14,N260&lt;&gt;"",N(N260)&lt;Parámetros!$B$15,N(Y260)&gt;=60),"Gris — repetir observación",IF(AK260&gt;=Parámetros!$B$13,"Verde",IF(AK260&gt;=Parámetros!$B$14,"Amarillo","Rojo")))))</f>
        <v/>
      </c>
      <c r="AM260" s="47" t="str">
        <f aca="false">IF($C260="","",IF(AND(ISNUMBER(Y260),N(Y260)&lt;60),"Ejecución &lt; 60 %: rojo automático",IF(AND(ISNUMBER(AE260),N(AE260)&lt;80),"PIAR &lt; 80 %: máximo amarillo",IF(AND(ISNUMBER(AC260),N(AC260)&lt;50,N(O260)&gt;=2),"Observación &lt; 50: máximo amarillo",IF(AND(N260&lt;&gt;"",N(N260)&lt;Parámetros!$B$15),"κ &lt; 0,60: observación descartada, repetir","")))))</f>
        <v/>
      </c>
    </row>
    <row r="261" customFormat="false" ht="15" hidden="false" customHeight="fals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7" t="str">
        <f aca="false">IF(N(E261)&gt;0,MIN(100,F261/E261*100),"")</f>
        <v/>
      </c>
      <c r="Y261" s="47" t="str">
        <f aca="false">IF(N(G261)&gt;0,MIN(100,H261/G261*100),"")</f>
        <v/>
      </c>
      <c r="Z261" s="47" t="str">
        <f aca="false">IF(N(I261)&gt;0,MIN(100,J261/I261*100),"")</f>
        <v/>
      </c>
      <c r="AA261" s="47" t="str">
        <f aca="false">IF(K261="","",K261/24*100)</f>
        <v/>
      </c>
      <c r="AB261" s="47" t="str">
        <f aca="false">IF(L261="","",L261/3*100)</f>
        <v/>
      </c>
      <c r="AC261" s="47" t="str">
        <f aca="false">IF(OR(M261="",AND(N261&lt;&gt;"",N(N261)&lt;Parámetros!$B$15)),"",MAX(0,MIN(100,(M261-1)/4*100)))</f>
        <v/>
      </c>
      <c r="AD261" s="47" t="str">
        <f aca="false">IF(OR(P261="",N(Q261)=0),"",MAX(0,MIN(100,((Q261/(Q261+Parámetros!$B$16))*P261+(Parámetros!$B$16/(Q261+Parámetros!$B$16))*Parámetros!$B$17-0.1)/0.4*100)))</f>
        <v/>
      </c>
      <c r="AE261" s="47" t="str">
        <f aca="false">IF(N(R261)&gt;0,MIN(100,S261/R261*100),"")</f>
        <v/>
      </c>
      <c r="AF261" s="47" t="str">
        <f aca="false">IF(N(U261)&gt;0,MIN(100,T261/(U261*5)*100),"")</f>
        <v/>
      </c>
      <c r="AG261" s="47" t="str">
        <f aca="false">IF(OR(V261="",N(W261)&lt;10),"",(V261-1)/4*100)</f>
        <v/>
      </c>
      <c r="AH261" s="47" t="str">
        <f aca="false">IF($C261="","",COUNT(X261:AG261))</f>
        <v/>
      </c>
      <c r="AI261" s="47" t="str">
        <f aca="false">IF(OR($C261="",N(AH261)&lt;Parámetros!$B$18),"",(IF(ISNUMBER(X261),X261*Parámetros!$B$2,0)+IF(ISNUMBER(Y261),Y261*Parámetros!$B$3,0)+IF(ISNUMBER(Z261),Z261*Parámetros!$B$4,0)+IF(ISNUMBER(AA261),AA261*Parámetros!$B$5,0)+IF(ISNUMBER(AB261),AB261*Parámetros!$B$6,0)+IF(ISNUMBER(AC261),AC261*Parámetros!$B$7,0)+IF(ISNUMBER(AD261),AD261*Parámetros!$B$8,0)+IF(ISNUMBER(AE261),AE261*Parámetros!$B$9,0)+IF(ISNUMBER(AF261),AF261*Parámetros!$B$10,0)+IF(ISNUMBER(AG261),AG261*Parámetros!$B$11,0))/(IF(ISNUMBER(X261),Parámetros!$B$2,0)+IF(ISNUMBER(Y261),Parámetros!$B$3,0)+IF(ISNUMBER(Z261),Parámetros!$B$4,0)+IF(ISNUMBER(AA261),Parámetros!$B$5,0)+IF(ISNUMBER(AB261),Parámetros!$B$6,0)+IF(ISNUMBER(AC261),Parámetros!$B$7,0)+IF(ISNUMBER(AD261),Parámetros!$B$8,0)+IF(ISNUMBER(AE261),Parámetros!$B$9,0)+IF(ISNUMBER(AF261),Parámetros!$B$10,0)+IF(ISNUMBER(AG261),Parámetros!$B$11,0)))</f>
        <v/>
      </c>
      <c r="AJ261" s="47" t="n">
        <f aca="false">IF(AND(ISNUMBER(Y261),N(Y261)&lt;60),69.9,IF(OR(AND(ISNUMBER(AE261),N(AE261)&lt;80),AND(ISNUMBER(AC261),N(AC261)&lt;50,N(O261)&gt;=2)),84.9,100))</f>
        <v>100</v>
      </c>
      <c r="AK261" s="47" t="str">
        <f aca="false">IF(AI261="","",MIN(AI261,AJ261))</f>
        <v/>
      </c>
      <c r="AL261" s="47" t="str">
        <f aca="false">IF($C261="","",IF(AK261="","Gris — menos de 3 fuentes",IF(AND(AK261&lt;Parámetros!$B$14,N261&lt;&gt;"",N(N261)&lt;Parámetros!$B$15,N(Y261)&gt;=60),"Gris — repetir observación",IF(AK261&gt;=Parámetros!$B$13,"Verde",IF(AK261&gt;=Parámetros!$B$14,"Amarillo","Rojo")))))</f>
        <v/>
      </c>
      <c r="AM261" s="47" t="str">
        <f aca="false">IF($C261="","",IF(AND(ISNUMBER(Y261),N(Y261)&lt;60),"Ejecución &lt; 60 %: rojo automático",IF(AND(ISNUMBER(AE261),N(AE261)&lt;80),"PIAR &lt; 80 %: máximo amarillo",IF(AND(ISNUMBER(AC261),N(AC261)&lt;50,N(O261)&gt;=2),"Observación &lt; 50: máximo amarillo",IF(AND(N261&lt;&gt;"",N(N261)&lt;Parámetros!$B$15),"κ &lt; 0,60: observación descartada, repetir","")))))</f>
        <v/>
      </c>
    </row>
    <row r="262" customFormat="false" ht="15" hidden="false" customHeight="fals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7" t="str">
        <f aca="false">IF(N(E262)&gt;0,MIN(100,F262/E262*100),"")</f>
        <v/>
      </c>
      <c r="Y262" s="47" t="str">
        <f aca="false">IF(N(G262)&gt;0,MIN(100,H262/G262*100),"")</f>
        <v/>
      </c>
      <c r="Z262" s="47" t="str">
        <f aca="false">IF(N(I262)&gt;0,MIN(100,J262/I262*100),"")</f>
        <v/>
      </c>
      <c r="AA262" s="47" t="str">
        <f aca="false">IF(K262="","",K262/24*100)</f>
        <v/>
      </c>
      <c r="AB262" s="47" t="str">
        <f aca="false">IF(L262="","",L262/3*100)</f>
        <v/>
      </c>
      <c r="AC262" s="47" t="str">
        <f aca="false">IF(OR(M262="",AND(N262&lt;&gt;"",N(N262)&lt;Parámetros!$B$15)),"",MAX(0,MIN(100,(M262-1)/4*100)))</f>
        <v/>
      </c>
      <c r="AD262" s="47" t="str">
        <f aca="false">IF(OR(P262="",N(Q262)=0),"",MAX(0,MIN(100,((Q262/(Q262+Parámetros!$B$16))*P262+(Parámetros!$B$16/(Q262+Parámetros!$B$16))*Parámetros!$B$17-0.1)/0.4*100)))</f>
        <v/>
      </c>
      <c r="AE262" s="47" t="str">
        <f aca="false">IF(N(R262)&gt;0,MIN(100,S262/R262*100),"")</f>
        <v/>
      </c>
      <c r="AF262" s="47" t="str">
        <f aca="false">IF(N(U262)&gt;0,MIN(100,T262/(U262*5)*100),"")</f>
        <v/>
      </c>
      <c r="AG262" s="47" t="str">
        <f aca="false">IF(OR(V262="",N(W262)&lt;10),"",(V262-1)/4*100)</f>
        <v/>
      </c>
      <c r="AH262" s="47" t="str">
        <f aca="false">IF($C262="","",COUNT(X262:AG262))</f>
        <v/>
      </c>
      <c r="AI262" s="47" t="str">
        <f aca="false">IF(OR($C262="",N(AH262)&lt;Parámetros!$B$18),"",(IF(ISNUMBER(X262),X262*Parámetros!$B$2,0)+IF(ISNUMBER(Y262),Y262*Parámetros!$B$3,0)+IF(ISNUMBER(Z262),Z262*Parámetros!$B$4,0)+IF(ISNUMBER(AA262),AA262*Parámetros!$B$5,0)+IF(ISNUMBER(AB262),AB262*Parámetros!$B$6,0)+IF(ISNUMBER(AC262),AC262*Parámetros!$B$7,0)+IF(ISNUMBER(AD262),AD262*Parámetros!$B$8,0)+IF(ISNUMBER(AE262),AE262*Parámetros!$B$9,0)+IF(ISNUMBER(AF262),AF262*Parámetros!$B$10,0)+IF(ISNUMBER(AG262),AG262*Parámetros!$B$11,0))/(IF(ISNUMBER(X262),Parámetros!$B$2,0)+IF(ISNUMBER(Y262),Parámetros!$B$3,0)+IF(ISNUMBER(Z262),Parámetros!$B$4,0)+IF(ISNUMBER(AA262),Parámetros!$B$5,0)+IF(ISNUMBER(AB262),Parámetros!$B$6,0)+IF(ISNUMBER(AC262),Parámetros!$B$7,0)+IF(ISNUMBER(AD262),Parámetros!$B$8,0)+IF(ISNUMBER(AE262),Parámetros!$B$9,0)+IF(ISNUMBER(AF262),Parámetros!$B$10,0)+IF(ISNUMBER(AG262),Parámetros!$B$11,0)))</f>
        <v/>
      </c>
      <c r="AJ262" s="47" t="n">
        <f aca="false">IF(AND(ISNUMBER(Y262),N(Y262)&lt;60),69.9,IF(OR(AND(ISNUMBER(AE262),N(AE262)&lt;80),AND(ISNUMBER(AC262),N(AC262)&lt;50,N(O262)&gt;=2)),84.9,100))</f>
        <v>100</v>
      </c>
      <c r="AK262" s="47" t="str">
        <f aca="false">IF(AI262="","",MIN(AI262,AJ262))</f>
        <v/>
      </c>
      <c r="AL262" s="47" t="str">
        <f aca="false">IF($C262="","",IF(AK262="","Gris — menos de 3 fuentes",IF(AND(AK262&lt;Parámetros!$B$14,N262&lt;&gt;"",N(N262)&lt;Parámetros!$B$15,N(Y262)&gt;=60),"Gris — repetir observación",IF(AK262&gt;=Parámetros!$B$13,"Verde",IF(AK262&gt;=Parámetros!$B$14,"Amarillo","Rojo")))))</f>
        <v/>
      </c>
      <c r="AM262" s="47" t="str">
        <f aca="false">IF($C262="","",IF(AND(ISNUMBER(Y262),N(Y262)&lt;60),"Ejecución &lt; 60 %: rojo automático",IF(AND(ISNUMBER(AE262),N(AE262)&lt;80),"PIAR &lt; 80 %: máximo amarillo",IF(AND(ISNUMBER(AC262),N(AC262)&lt;50,N(O262)&gt;=2),"Observación &lt; 50: máximo amarillo",IF(AND(N262&lt;&gt;"",N(N262)&lt;Parámetros!$B$15),"κ &lt; 0,60: observación descartada, repetir","")))))</f>
        <v/>
      </c>
    </row>
    <row r="263" customFormat="false" ht="15" hidden="false" customHeight="fals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7" t="str">
        <f aca="false">IF(N(E263)&gt;0,MIN(100,F263/E263*100),"")</f>
        <v/>
      </c>
      <c r="Y263" s="47" t="str">
        <f aca="false">IF(N(G263)&gt;0,MIN(100,H263/G263*100),"")</f>
        <v/>
      </c>
      <c r="Z263" s="47" t="str">
        <f aca="false">IF(N(I263)&gt;0,MIN(100,J263/I263*100),"")</f>
        <v/>
      </c>
      <c r="AA263" s="47" t="str">
        <f aca="false">IF(K263="","",K263/24*100)</f>
        <v/>
      </c>
      <c r="AB263" s="47" t="str">
        <f aca="false">IF(L263="","",L263/3*100)</f>
        <v/>
      </c>
      <c r="AC263" s="47" t="str">
        <f aca="false">IF(OR(M263="",AND(N263&lt;&gt;"",N(N263)&lt;Parámetros!$B$15)),"",MAX(0,MIN(100,(M263-1)/4*100)))</f>
        <v/>
      </c>
      <c r="AD263" s="47" t="str">
        <f aca="false">IF(OR(P263="",N(Q263)=0),"",MAX(0,MIN(100,((Q263/(Q263+Parámetros!$B$16))*P263+(Parámetros!$B$16/(Q263+Parámetros!$B$16))*Parámetros!$B$17-0.1)/0.4*100)))</f>
        <v/>
      </c>
      <c r="AE263" s="47" t="str">
        <f aca="false">IF(N(R263)&gt;0,MIN(100,S263/R263*100),"")</f>
        <v/>
      </c>
      <c r="AF263" s="47" t="str">
        <f aca="false">IF(N(U263)&gt;0,MIN(100,T263/(U263*5)*100),"")</f>
        <v/>
      </c>
      <c r="AG263" s="47" t="str">
        <f aca="false">IF(OR(V263="",N(W263)&lt;10),"",(V263-1)/4*100)</f>
        <v/>
      </c>
      <c r="AH263" s="47" t="str">
        <f aca="false">IF($C263="","",COUNT(X263:AG263))</f>
        <v/>
      </c>
      <c r="AI263" s="47" t="str">
        <f aca="false">IF(OR($C263="",N(AH263)&lt;Parámetros!$B$18),"",(IF(ISNUMBER(X263),X263*Parámetros!$B$2,0)+IF(ISNUMBER(Y263),Y263*Parámetros!$B$3,0)+IF(ISNUMBER(Z263),Z263*Parámetros!$B$4,0)+IF(ISNUMBER(AA263),AA263*Parámetros!$B$5,0)+IF(ISNUMBER(AB263),AB263*Parámetros!$B$6,0)+IF(ISNUMBER(AC263),AC263*Parámetros!$B$7,0)+IF(ISNUMBER(AD263),AD263*Parámetros!$B$8,0)+IF(ISNUMBER(AE263),AE263*Parámetros!$B$9,0)+IF(ISNUMBER(AF263),AF263*Parámetros!$B$10,0)+IF(ISNUMBER(AG263),AG263*Parámetros!$B$11,0))/(IF(ISNUMBER(X263),Parámetros!$B$2,0)+IF(ISNUMBER(Y263),Parámetros!$B$3,0)+IF(ISNUMBER(Z263),Parámetros!$B$4,0)+IF(ISNUMBER(AA263),Parámetros!$B$5,0)+IF(ISNUMBER(AB263),Parámetros!$B$6,0)+IF(ISNUMBER(AC263),Parámetros!$B$7,0)+IF(ISNUMBER(AD263),Parámetros!$B$8,0)+IF(ISNUMBER(AE263),Parámetros!$B$9,0)+IF(ISNUMBER(AF263),Parámetros!$B$10,0)+IF(ISNUMBER(AG263),Parámetros!$B$11,0)))</f>
        <v/>
      </c>
      <c r="AJ263" s="47" t="n">
        <f aca="false">IF(AND(ISNUMBER(Y263),N(Y263)&lt;60),69.9,IF(OR(AND(ISNUMBER(AE263),N(AE263)&lt;80),AND(ISNUMBER(AC263),N(AC263)&lt;50,N(O263)&gt;=2)),84.9,100))</f>
        <v>100</v>
      </c>
      <c r="AK263" s="47" t="str">
        <f aca="false">IF(AI263="","",MIN(AI263,AJ263))</f>
        <v/>
      </c>
      <c r="AL263" s="47" t="str">
        <f aca="false">IF($C263="","",IF(AK263="","Gris — menos de 3 fuentes",IF(AND(AK263&lt;Parámetros!$B$14,N263&lt;&gt;"",N(N263)&lt;Parámetros!$B$15,N(Y263)&gt;=60),"Gris — repetir observación",IF(AK263&gt;=Parámetros!$B$13,"Verde",IF(AK263&gt;=Parámetros!$B$14,"Amarillo","Rojo")))))</f>
        <v/>
      </c>
      <c r="AM263" s="47" t="str">
        <f aca="false">IF($C263="","",IF(AND(ISNUMBER(Y263),N(Y263)&lt;60),"Ejecución &lt; 60 %: rojo automático",IF(AND(ISNUMBER(AE263),N(AE263)&lt;80),"PIAR &lt; 80 %: máximo amarillo",IF(AND(ISNUMBER(AC263),N(AC263)&lt;50,N(O263)&gt;=2),"Observación &lt; 50: máximo amarillo",IF(AND(N263&lt;&gt;"",N(N263)&lt;Parámetros!$B$15),"κ &lt; 0,60: observación descartada, repetir","")))))</f>
        <v/>
      </c>
    </row>
    <row r="264" customFormat="false" ht="15" hidden="false" customHeight="fals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7" t="str">
        <f aca="false">IF(N(E264)&gt;0,MIN(100,F264/E264*100),"")</f>
        <v/>
      </c>
      <c r="Y264" s="47" t="str">
        <f aca="false">IF(N(G264)&gt;0,MIN(100,H264/G264*100),"")</f>
        <v/>
      </c>
      <c r="Z264" s="47" t="str">
        <f aca="false">IF(N(I264)&gt;0,MIN(100,J264/I264*100),"")</f>
        <v/>
      </c>
      <c r="AA264" s="47" t="str">
        <f aca="false">IF(K264="","",K264/24*100)</f>
        <v/>
      </c>
      <c r="AB264" s="47" t="str">
        <f aca="false">IF(L264="","",L264/3*100)</f>
        <v/>
      </c>
      <c r="AC264" s="47" t="str">
        <f aca="false">IF(OR(M264="",AND(N264&lt;&gt;"",N(N264)&lt;Parámetros!$B$15)),"",MAX(0,MIN(100,(M264-1)/4*100)))</f>
        <v/>
      </c>
      <c r="AD264" s="47" t="str">
        <f aca="false">IF(OR(P264="",N(Q264)=0),"",MAX(0,MIN(100,((Q264/(Q264+Parámetros!$B$16))*P264+(Parámetros!$B$16/(Q264+Parámetros!$B$16))*Parámetros!$B$17-0.1)/0.4*100)))</f>
        <v/>
      </c>
      <c r="AE264" s="47" t="str">
        <f aca="false">IF(N(R264)&gt;0,MIN(100,S264/R264*100),"")</f>
        <v/>
      </c>
      <c r="AF264" s="47" t="str">
        <f aca="false">IF(N(U264)&gt;0,MIN(100,T264/(U264*5)*100),"")</f>
        <v/>
      </c>
      <c r="AG264" s="47" t="str">
        <f aca="false">IF(OR(V264="",N(W264)&lt;10),"",(V264-1)/4*100)</f>
        <v/>
      </c>
      <c r="AH264" s="47" t="str">
        <f aca="false">IF($C264="","",COUNT(X264:AG264))</f>
        <v/>
      </c>
      <c r="AI264" s="47" t="str">
        <f aca="false">IF(OR($C264="",N(AH264)&lt;Parámetros!$B$18),"",(IF(ISNUMBER(X264),X264*Parámetros!$B$2,0)+IF(ISNUMBER(Y264),Y264*Parámetros!$B$3,0)+IF(ISNUMBER(Z264),Z264*Parámetros!$B$4,0)+IF(ISNUMBER(AA264),AA264*Parámetros!$B$5,0)+IF(ISNUMBER(AB264),AB264*Parámetros!$B$6,0)+IF(ISNUMBER(AC264),AC264*Parámetros!$B$7,0)+IF(ISNUMBER(AD264),AD264*Parámetros!$B$8,0)+IF(ISNUMBER(AE264),AE264*Parámetros!$B$9,0)+IF(ISNUMBER(AF264),AF264*Parámetros!$B$10,0)+IF(ISNUMBER(AG264),AG264*Parámetros!$B$11,0))/(IF(ISNUMBER(X264),Parámetros!$B$2,0)+IF(ISNUMBER(Y264),Parámetros!$B$3,0)+IF(ISNUMBER(Z264),Parámetros!$B$4,0)+IF(ISNUMBER(AA264),Parámetros!$B$5,0)+IF(ISNUMBER(AB264),Parámetros!$B$6,0)+IF(ISNUMBER(AC264),Parámetros!$B$7,0)+IF(ISNUMBER(AD264),Parámetros!$B$8,0)+IF(ISNUMBER(AE264),Parámetros!$B$9,0)+IF(ISNUMBER(AF264),Parámetros!$B$10,0)+IF(ISNUMBER(AG264),Parámetros!$B$11,0)))</f>
        <v/>
      </c>
      <c r="AJ264" s="47" t="n">
        <f aca="false">IF(AND(ISNUMBER(Y264),N(Y264)&lt;60),69.9,IF(OR(AND(ISNUMBER(AE264),N(AE264)&lt;80),AND(ISNUMBER(AC264),N(AC264)&lt;50,N(O264)&gt;=2)),84.9,100))</f>
        <v>100</v>
      </c>
      <c r="AK264" s="47" t="str">
        <f aca="false">IF(AI264="","",MIN(AI264,AJ264))</f>
        <v/>
      </c>
      <c r="AL264" s="47" t="str">
        <f aca="false">IF($C264="","",IF(AK264="","Gris — menos de 3 fuentes",IF(AND(AK264&lt;Parámetros!$B$14,N264&lt;&gt;"",N(N264)&lt;Parámetros!$B$15,N(Y264)&gt;=60),"Gris — repetir observación",IF(AK264&gt;=Parámetros!$B$13,"Verde",IF(AK264&gt;=Parámetros!$B$14,"Amarillo","Rojo")))))</f>
        <v/>
      </c>
      <c r="AM264" s="47" t="str">
        <f aca="false">IF($C264="","",IF(AND(ISNUMBER(Y264),N(Y264)&lt;60),"Ejecución &lt; 60 %: rojo automático",IF(AND(ISNUMBER(AE264),N(AE264)&lt;80),"PIAR &lt; 80 %: máximo amarillo",IF(AND(ISNUMBER(AC264),N(AC264)&lt;50,N(O264)&gt;=2),"Observación &lt; 50: máximo amarillo",IF(AND(N264&lt;&gt;"",N(N264)&lt;Parámetros!$B$15),"κ &lt; 0,60: observación descartada, repetir","")))))</f>
        <v/>
      </c>
    </row>
    <row r="265" customFormat="false" ht="15" hidden="false" customHeight="fals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7" t="str">
        <f aca="false">IF(N(E265)&gt;0,MIN(100,F265/E265*100),"")</f>
        <v/>
      </c>
      <c r="Y265" s="47" t="str">
        <f aca="false">IF(N(G265)&gt;0,MIN(100,H265/G265*100),"")</f>
        <v/>
      </c>
      <c r="Z265" s="47" t="str">
        <f aca="false">IF(N(I265)&gt;0,MIN(100,J265/I265*100),"")</f>
        <v/>
      </c>
      <c r="AA265" s="47" t="str">
        <f aca="false">IF(K265="","",K265/24*100)</f>
        <v/>
      </c>
      <c r="AB265" s="47" t="str">
        <f aca="false">IF(L265="","",L265/3*100)</f>
        <v/>
      </c>
      <c r="AC265" s="47" t="str">
        <f aca="false">IF(OR(M265="",AND(N265&lt;&gt;"",N(N265)&lt;Parámetros!$B$15)),"",MAX(0,MIN(100,(M265-1)/4*100)))</f>
        <v/>
      </c>
      <c r="AD265" s="47" t="str">
        <f aca="false">IF(OR(P265="",N(Q265)=0),"",MAX(0,MIN(100,((Q265/(Q265+Parámetros!$B$16))*P265+(Parámetros!$B$16/(Q265+Parámetros!$B$16))*Parámetros!$B$17-0.1)/0.4*100)))</f>
        <v/>
      </c>
      <c r="AE265" s="47" t="str">
        <f aca="false">IF(N(R265)&gt;0,MIN(100,S265/R265*100),"")</f>
        <v/>
      </c>
      <c r="AF265" s="47" t="str">
        <f aca="false">IF(N(U265)&gt;0,MIN(100,T265/(U265*5)*100),"")</f>
        <v/>
      </c>
      <c r="AG265" s="47" t="str">
        <f aca="false">IF(OR(V265="",N(W265)&lt;10),"",(V265-1)/4*100)</f>
        <v/>
      </c>
      <c r="AH265" s="47" t="str">
        <f aca="false">IF($C265="","",COUNT(X265:AG265))</f>
        <v/>
      </c>
      <c r="AI265" s="47" t="str">
        <f aca="false">IF(OR($C265="",N(AH265)&lt;Parámetros!$B$18),"",(IF(ISNUMBER(X265),X265*Parámetros!$B$2,0)+IF(ISNUMBER(Y265),Y265*Parámetros!$B$3,0)+IF(ISNUMBER(Z265),Z265*Parámetros!$B$4,0)+IF(ISNUMBER(AA265),AA265*Parámetros!$B$5,0)+IF(ISNUMBER(AB265),AB265*Parámetros!$B$6,0)+IF(ISNUMBER(AC265),AC265*Parámetros!$B$7,0)+IF(ISNUMBER(AD265),AD265*Parámetros!$B$8,0)+IF(ISNUMBER(AE265),AE265*Parámetros!$B$9,0)+IF(ISNUMBER(AF265),AF265*Parámetros!$B$10,0)+IF(ISNUMBER(AG265),AG265*Parámetros!$B$11,0))/(IF(ISNUMBER(X265),Parámetros!$B$2,0)+IF(ISNUMBER(Y265),Parámetros!$B$3,0)+IF(ISNUMBER(Z265),Parámetros!$B$4,0)+IF(ISNUMBER(AA265),Parámetros!$B$5,0)+IF(ISNUMBER(AB265),Parámetros!$B$6,0)+IF(ISNUMBER(AC265),Parámetros!$B$7,0)+IF(ISNUMBER(AD265),Parámetros!$B$8,0)+IF(ISNUMBER(AE265),Parámetros!$B$9,0)+IF(ISNUMBER(AF265),Parámetros!$B$10,0)+IF(ISNUMBER(AG265),Parámetros!$B$11,0)))</f>
        <v/>
      </c>
      <c r="AJ265" s="47" t="n">
        <f aca="false">IF(AND(ISNUMBER(Y265),N(Y265)&lt;60),69.9,IF(OR(AND(ISNUMBER(AE265),N(AE265)&lt;80),AND(ISNUMBER(AC265),N(AC265)&lt;50,N(O265)&gt;=2)),84.9,100))</f>
        <v>100</v>
      </c>
      <c r="AK265" s="47" t="str">
        <f aca="false">IF(AI265="","",MIN(AI265,AJ265))</f>
        <v/>
      </c>
      <c r="AL265" s="47" t="str">
        <f aca="false">IF($C265="","",IF(AK265="","Gris — menos de 3 fuentes",IF(AND(AK265&lt;Parámetros!$B$14,N265&lt;&gt;"",N(N265)&lt;Parámetros!$B$15,N(Y265)&gt;=60),"Gris — repetir observación",IF(AK265&gt;=Parámetros!$B$13,"Verde",IF(AK265&gt;=Parámetros!$B$14,"Amarillo","Rojo")))))</f>
        <v/>
      </c>
      <c r="AM265" s="47" t="str">
        <f aca="false">IF($C265="","",IF(AND(ISNUMBER(Y265),N(Y265)&lt;60),"Ejecución &lt; 60 %: rojo automático",IF(AND(ISNUMBER(AE265),N(AE265)&lt;80),"PIAR &lt; 80 %: máximo amarillo",IF(AND(ISNUMBER(AC265),N(AC265)&lt;50,N(O265)&gt;=2),"Observación &lt; 50: máximo amarillo",IF(AND(N265&lt;&gt;"",N(N265)&lt;Parámetros!$B$15),"κ &lt; 0,60: observación descartada, repetir","")))))</f>
        <v/>
      </c>
    </row>
    <row r="266" customFormat="false" ht="15" hidden="false" customHeight="fals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7" t="str">
        <f aca="false">IF(N(E266)&gt;0,MIN(100,F266/E266*100),"")</f>
        <v/>
      </c>
      <c r="Y266" s="47" t="str">
        <f aca="false">IF(N(G266)&gt;0,MIN(100,H266/G266*100),"")</f>
        <v/>
      </c>
      <c r="Z266" s="47" t="str">
        <f aca="false">IF(N(I266)&gt;0,MIN(100,J266/I266*100),"")</f>
        <v/>
      </c>
      <c r="AA266" s="47" t="str">
        <f aca="false">IF(K266="","",K266/24*100)</f>
        <v/>
      </c>
      <c r="AB266" s="47" t="str">
        <f aca="false">IF(L266="","",L266/3*100)</f>
        <v/>
      </c>
      <c r="AC266" s="47" t="str">
        <f aca="false">IF(OR(M266="",AND(N266&lt;&gt;"",N(N266)&lt;Parámetros!$B$15)),"",MAX(0,MIN(100,(M266-1)/4*100)))</f>
        <v/>
      </c>
      <c r="AD266" s="47" t="str">
        <f aca="false">IF(OR(P266="",N(Q266)=0),"",MAX(0,MIN(100,((Q266/(Q266+Parámetros!$B$16))*P266+(Parámetros!$B$16/(Q266+Parámetros!$B$16))*Parámetros!$B$17-0.1)/0.4*100)))</f>
        <v/>
      </c>
      <c r="AE266" s="47" t="str">
        <f aca="false">IF(N(R266)&gt;0,MIN(100,S266/R266*100),"")</f>
        <v/>
      </c>
      <c r="AF266" s="47" t="str">
        <f aca="false">IF(N(U266)&gt;0,MIN(100,T266/(U266*5)*100),"")</f>
        <v/>
      </c>
      <c r="AG266" s="47" t="str">
        <f aca="false">IF(OR(V266="",N(W266)&lt;10),"",(V266-1)/4*100)</f>
        <v/>
      </c>
      <c r="AH266" s="47" t="str">
        <f aca="false">IF($C266="","",COUNT(X266:AG266))</f>
        <v/>
      </c>
      <c r="AI266" s="47" t="str">
        <f aca="false">IF(OR($C266="",N(AH266)&lt;Parámetros!$B$18),"",(IF(ISNUMBER(X266),X266*Parámetros!$B$2,0)+IF(ISNUMBER(Y266),Y266*Parámetros!$B$3,0)+IF(ISNUMBER(Z266),Z266*Parámetros!$B$4,0)+IF(ISNUMBER(AA266),AA266*Parámetros!$B$5,0)+IF(ISNUMBER(AB266),AB266*Parámetros!$B$6,0)+IF(ISNUMBER(AC266),AC266*Parámetros!$B$7,0)+IF(ISNUMBER(AD266),AD266*Parámetros!$B$8,0)+IF(ISNUMBER(AE266),AE266*Parámetros!$B$9,0)+IF(ISNUMBER(AF266),AF266*Parámetros!$B$10,0)+IF(ISNUMBER(AG266),AG266*Parámetros!$B$11,0))/(IF(ISNUMBER(X266),Parámetros!$B$2,0)+IF(ISNUMBER(Y266),Parámetros!$B$3,0)+IF(ISNUMBER(Z266),Parámetros!$B$4,0)+IF(ISNUMBER(AA266),Parámetros!$B$5,0)+IF(ISNUMBER(AB266),Parámetros!$B$6,0)+IF(ISNUMBER(AC266),Parámetros!$B$7,0)+IF(ISNUMBER(AD266),Parámetros!$B$8,0)+IF(ISNUMBER(AE266),Parámetros!$B$9,0)+IF(ISNUMBER(AF266),Parámetros!$B$10,0)+IF(ISNUMBER(AG266),Parámetros!$B$11,0)))</f>
        <v/>
      </c>
      <c r="AJ266" s="47" t="n">
        <f aca="false">IF(AND(ISNUMBER(Y266),N(Y266)&lt;60),69.9,IF(OR(AND(ISNUMBER(AE266),N(AE266)&lt;80),AND(ISNUMBER(AC266),N(AC266)&lt;50,N(O266)&gt;=2)),84.9,100))</f>
        <v>100</v>
      </c>
      <c r="AK266" s="47" t="str">
        <f aca="false">IF(AI266="","",MIN(AI266,AJ266))</f>
        <v/>
      </c>
      <c r="AL266" s="47" t="str">
        <f aca="false">IF($C266="","",IF(AK266="","Gris — menos de 3 fuentes",IF(AND(AK266&lt;Parámetros!$B$14,N266&lt;&gt;"",N(N266)&lt;Parámetros!$B$15,N(Y266)&gt;=60),"Gris — repetir observación",IF(AK266&gt;=Parámetros!$B$13,"Verde",IF(AK266&gt;=Parámetros!$B$14,"Amarillo","Rojo")))))</f>
        <v/>
      </c>
      <c r="AM266" s="47" t="str">
        <f aca="false">IF($C266="","",IF(AND(ISNUMBER(Y266),N(Y266)&lt;60),"Ejecución &lt; 60 %: rojo automático",IF(AND(ISNUMBER(AE266),N(AE266)&lt;80),"PIAR &lt; 80 %: máximo amarillo",IF(AND(ISNUMBER(AC266),N(AC266)&lt;50,N(O266)&gt;=2),"Observación &lt; 50: máximo amarillo",IF(AND(N266&lt;&gt;"",N(N266)&lt;Parámetros!$B$15),"κ &lt; 0,60: observación descartada, repetir","")))))</f>
        <v/>
      </c>
    </row>
    <row r="267" customFormat="false" ht="15" hidden="false" customHeight="fals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7" t="str">
        <f aca="false">IF(N(E267)&gt;0,MIN(100,F267/E267*100),"")</f>
        <v/>
      </c>
      <c r="Y267" s="47" t="str">
        <f aca="false">IF(N(G267)&gt;0,MIN(100,H267/G267*100),"")</f>
        <v/>
      </c>
      <c r="Z267" s="47" t="str">
        <f aca="false">IF(N(I267)&gt;0,MIN(100,J267/I267*100),"")</f>
        <v/>
      </c>
      <c r="AA267" s="47" t="str">
        <f aca="false">IF(K267="","",K267/24*100)</f>
        <v/>
      </c>
      <c r="AB267" s="47" t="str">
        <f aca="false">IF(L267="","",L267/3*100)</f>
        <v/>
      </c>
      <c r="AC267" s="47" t="str">
        <f aca="false">IF(OR(M267="",AND(N267&lt;&gt;"",N(N267)&lt;Parámetros!$B$15)),"",MAX(0,MIN(100,(M267-1)/4*100)))</f>
        <v/>
      </c>
      <c r="AD267" s="47" t="str">
        <f aca="false">IF(OR(P267="",N(Q267)=0),"",MAX(0,MIN(100,((Q267/(Q267+Parámetros!$B$16))*P267+(Parámetros!$B$16/(Q267+Parámetros!$B$16))*Parámetros!$B$17-0.1)/0.4*100)))</f>
        <v/>
      </c>
      <c r="AE267" s="47" t="str">
        <f aca="false">IF(N(R267)&gt;0,MIN(100,S267/R267*100),"")</f>
        <v/>
      </c>
      <c r="AF267" s="47" t="str">
        <f aca="false">IF(N(U267)&gt;0,MIN(100,T267/(U267*5)*100),"")</f>
        <v/>
      </c>
      <c r="AG267" s="47" t="str">
        <f aca="false">IF(OR(V267="",N(W267)&lt;10),"",(V267-1)/4*100)</f>
        <v/>
      </c>
      <c r="AH267" s="47" t="str">
        <f aca="false">IF($C267="","",COUNT(X267:AG267))</f>
        <v/>
      </c>
      <c r="AI267" s="47" t="str">
        <f aca="false">IF(OR($C267="",N(AH267)&lt;Parámetros!$B$18),"",(IF(ISNUMBER(X267),X267*Parámetros!$B$2,0)+IF(ISNUMBER(Y267),Y267*Parámetros!$B$3,0)+IF(ISNUMBER(Z267),Z267*Parámetros!$B$4,0)+IF(ISNUMBER(AA267),AA267*Parámetros!$B$5,0)+IF(ISNUMBER(AB267),AB267*Parámetros!$B$6,0)+IF(ISNUMBER(AC267),AC267*Parámetros!$B$7,0)+IF(ISNUMBER(AD267),AD267*Parámetros!$B$8,0)+IF(ISNUMBER(AE267),AE267*Parámetros!$B$9,0)+IF(ISNUMBER(AF267),AF267*Parámetros!$B$10,0)+IF(ISNUMBER(AG267),AG267*Parámetros!$B$11,0))/(IF(ISNUMBER(X267),Parámetros!$B$2,0)+IF(ISNUMBER(Y267),Parámetros!$B$3,0)+IF(ISNUMBER(Z267),Parámetros!$B$4,0)+IF(ISNUMBER(AA267),Parámetros!$B$5,0)+IF(ISNUMBER(AB267),Parámetros!$B$6,0)+IF(ISNUMBER(AC267),Parámetros!$B$7,0)+IF(ISNUMBER(AD267),Parámetros!$B$8,0)+IF(ISNUMBER(AE267),Parámetros!$B$9,0)+IF(ISNUMBER(AF267),Parámetros!$B$10,0)+IF(ISNUMBER(AG267),Parámetros!$B$11,0)))</f>
        <v/>
      </c>
      <c r="AJ267" s="47" t="n">
        <f aca="false">IF(AND(ISNUMBER(Y267),N(Y267)&lt;60),69.9,IF(OR(AND(ISNUMBER(AE267),N(AE267)&lt;80),AND(ISNUMBER(AC267),N(AC267)&lt;50,N(O267)&gt;=2)),84.9,100))</f>
        <v>100</v>
      </c>
      <c r="AK267" s="47" t="str">
        <f aca="false">IF(AI267="","",MIN(AI267,AJ267))</f>
        <v/>
      </c>
      <c r="AL267" s="47" t="str">
        <f aca="false">IF($C267="","",IF(AK267="","Gris — menos de 3 fuentes",IF(AND(AK267&lt;Parámetros!$B$14,N267&lt;&gt;"",N(N267)&lt;Parámetros!$B$15,N(Y267)&gt;=60),"Gris — repetir observación",IF(AK267&gt;=Parámetros!$B$13,"Verde",IF(AK267&gt;=Parámetros!$B$14,"Amarillo","Rojo")))))</f>
        <v/>
      </c>
      <c r="AM267" s="47" t="str">
        <f aca="false">IF($C267="","",IF(AND(ISNUMBER(Y267),N(Y267)&lt;60),"Ejecución &lt; 60 %: rojo automático",IF(AND(ISNUMBER(AE267),N(AE267)&lt;80),"PIAR &lt; 80 %: máximo amarillo",IF(AND(ISNUMBER(AC267),N(AC267)&lt;50,N(O267)&gt;=2),"Observación &lt; 50: máximo amarillo",IF(AND(N267&lt;&gt;"",N(N267)&lt;Parámetros!$B$15),"κ &lt; 0,60: observación descartada, repetir","")))))</f>
        <v/>
      </c>
    </row>
    <row r="268" customFormat="false" ht="15" hidden="false" customHeight="fals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7" t="str">
        <f aca="false">IF(N(E268)&gt;0,MIN(100,F268/E268*100),"")</f>
        <v/>
      </c>
      <c r="Y268" s="47" t="str">
        <f aca="false">IF(N(G268)&gt;0,MIN(100,H268/G268*100),"")</f>
        <v/>
      </c>
      <c r="Z268" s="47" t="str">
        <f aca="false">IF(N(I268)&gt;0,MIN(100,J268/I268*100),"")</f>
        <v/>
      </c>
      <c r="AA268" s="47" t="str">
        <f aca="false">IF(K268="","",K268/24*100)</f>
        <v/>
      </c>
      <c r="AB268" s="47" t="str">
        <f aca="false">IF(L268="","",L268/3*100)</f>
        <v/>
      </c>
      <c r="AC268" s="47" t="str">
        <f aca="false">IF(OR(M268="",AND(N268&lt;&gt;"",N(N268)&lt;Parámetros!$B$15)),"",MAX(0,MIN(100,(M268-1)/4*100)))</f>
        <v/>
      </c>
      <c r="AD268" s="47" t="str">
        <f aca="false">IF(OR(P268="",N(Q268)=0),"",MAX(0,MIN(100,((Q268/(Q268+Parámetros!$B$16))*P268+(Parámetros!$B$16/(Q268+Parámetros!$B$16))*Parámetros!$B$17-0.1)/0.4*100)))</f>
        <v/>
      </c>
      <c r="AE268" s="47" t="str">
        <f aca="false">IF(N(R268)&gt;0,MIN(100,S268/R268*100),"")</f>
        <v/>
      </c>
      <c r="AF268" s="47" t="str">
        <f aca="false">IF(N(U268)&gt;0,MIN(100,T268/(U268*5)*100),"")</f>
        <v/>
      </c>
      <c r="AG268" s="47" t="str">
        <f aca="false">IF(OR(V268="",N(W268)&lt;10),"",(V268-1)/4*100)</f>
        <v/>
      </c>
      <c r="AH268" s="47" t="str">
        <f aca="false">IF($C268="","",COUNT(X268:AG268))</f>
        <v/>
      </c>
      <c r="AI268" s="47" t="str">
        <f aca="false">IF(OR($C268="",N(AH268)&lt;Parámetros!$B$18),"",(IF(ISNUMBER(X268),X268*Parámetros!$B$2,0)+IF(ISNUMBER(Y268),Y268*Parámetros!$B$3,0)+IF(ISNUMBER(Z268),Z268*Parámetros!$B$4,0)+IF(ISNUMBER(AA268),AA268*Parámetros!$B$5,0)+IF(ISNUMBER(AB268),AB268*Parámetros!$B$6,0)+IF(ISNUMBER(AC268),AC268*Parámetros!$B$7,0)+IF(ISNUMBER(AD268),AD268*Parámetros!$B$8,0)+IF(ISNUMBER(AE268),AE268*Parámetros!$B$9,0)+IF(ISNUMBER(AF268),AF268*Parámetros!$B$10,0)+IF(ISNUMBER(AG268),AG268*Parámetros!$B$11,0))/(IF(ISNUMBER(X268),Parámetros!$B$2,0)+IF(ISNUMBER(Y268),Parámetros!$B$3,0)+IF(ISNUMBER(Z268),Parámetros!$B$4,0)+IF(ISNUMBER(AA268),Parámetros!$B$5,0)+IF(ISNUMBER(AB268),Parámetros!$B$6,0)+IF(ISNUMBER(AC268),Parámetros!$B$7,0)+IF(ISNUMBER(AD268),Parámetros!$B$8,0)+IF(ISNUMBER(AE268),Parámetros!$B$9,0)+IF(ISNUMBER(AF268),Parámetros!$B$10,0)+IF(ISNUMBER(AG268),Parámetros!$B$11,0)))</f>
        <v/>
      </c>
      <c r="AJ268" s="47" t="n">
        <f aca="false">IF(AND(ISNUMBER(Y268),N(Y268)&lt;60),69.9,IF(OR(AND(ISNUMBER(AE268),N(AE268)&lt;80),AND(ISNUMBER(AC268),N(AC268)&lt;50,N(O268)&gt;=2)),84.9,100))</f>
        <v>100</v>
      </c>
      <c r="AK268" s="47" t="str">
        <f aca="false">IF(AI268="","",MIN(AI268,AJ268))</f>
        <v/>
      </c>
      <c r="AL268" s="47" t="str">
        <f aca="false">IF($C268="","",IF(AK268="","Gris — menos de 3 fuentes",IF(AND(AK268&lt;Parámetros!$B$14,N268&lt;&gt;"",N(N268)&lt;Parámetros!$B$15,N(Y268)&gt;=60),"Gris — repetir observación",IF(AK268&gt;=Parámetros!$B$13,"Verde",IF(AK268&gt;=Parámetros!$B$14,"Amarillo","Rojo")))))</f>
        <v/>
      </c>
      <c r="AM268" s="47" t="str">
        <f aca="false">IF($C268="","",IF(AND(ISNUMBER(Y268),N(Y268)&lt;60),"Ejecución &lt; 60 %: rojo automático",IF(AND(ISNUMBER(AE268),N(AE268)&lt;80),"PIAR &lt; 80 %: máximo amarillo",IF(AND(ISNUMBER(AC268),N(AC268)&lt;50,N(O268)&gt;=2),"Observación &lt; 50: máximo amarillo",IF(AND(N268&lt;&gt;"",N(N268)&lt;Parámetros!$B$15),"κ &lt; 0,60: observación descartada, repetir","")))))</f>
        <v/>
      </c>
    </row>
    <row r="269" customFormat="false" ht="15" hidden="false" customHeight="fals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7" t="str">
        <f aca="false">IF(N(E269)&gt;0,MIN(100,F269/E269*100),"")</f>
        <v/>
      </c>
      <c r="Y269" s="47" t="str">
        <f aca="false">IF(N(G269)&gt;0,MIN(100,H269/G269*100),"")</f>
        <v/>
      </c>
      <c r="Z269" s="47" t="str">
        <f aca="false">IF(N(I269)&gt;0,MIN(100,J269/I269*100),"")</f>
        <v/>
      </c>
      <c r="AA269" s="47" t="str">
        <f aca="false">IF(K269="","",K269/24*100)</f>
        <v/>
      </c>
      <c r="AB269" s="47" t="str">
        <f aca="false">IF(L269="","",L269/3*100)</f>
        <v/>
      </c>
      <c r="AC269" s="47" t="str">
        <f aca="false">IF(OR(M269="",AND(N269&lt;&gt;"",N(N269)&lt;Parámetros!$B$15)),"",MAX(0,MIN(100,(M269-1)/4*100)))</f>
        <v/>
      </c>
      <c r="AD269" s="47" t="str">
        <f aca="false">IF(OR(P269="",N(Q269)=0),"",MAX(0,MIN(100,((Q269/(Q269+Parámetros!$B$16))*P269+(Parámetros!$B$16/(Q269+Parámetros!$B$16))*Parámetros!$B$17-0.1)/0.4*100)))</f>
        <v/>
      </c>
      <c r="AE269" s="47" t="str">
        <f aca="false">IF(N(R269)&gt;0,MIN(100,S269/R269*100),"")</f>
        <v/>
      </c>
      <c r="AF269" s="47" t="str">
        <f aca="false">IF(N(U269)&gt;0,MIN(100,T269/(U269*5)*100),"")</f>
        <v/>
      </c>
      <c r="AG269" s="47" t="str">
        <f aca="false">IF(OR(V269="",N(W269)&lt;10),"",(V269-1)/4*100)</f>
        <v/>
      </c>
      <c r="AH269" s="47" t="str">
        <f aca="false">IF($C269="","",COUNT(X269:AG269))</f>
        <v/>
      </c>
      <c r="AI269" s="47" t="str">
        <f aca="false">IF(OR($C269="",N(AH269)&lt;Parámetros!$B$18),"",(IF(ISNUMBER(X269),X269*Parámetros!$B$2,0)+IF(ISNUMBER(Y269),Y269*Parámetros!$B$3,0)+IF(ISNUMBER(Z269),Z269*Parámetros!$B$4,0)+IF(ISNUMBER(AA269),AA269*Parámetros!$B$5,0)+IF(ISNUMBER(AB269),AB269*Parámetros!$B$6,0)+IF(ISNUMBER(AC269),AC269*Parámetros!$B$7,0)+IF(ISNUMBER(AD269),AD269*Parámetros!$B$8,0)+IF(ISNUMBER(AE269),AE269*Parámetros!$B$9,0)+IF(ISNUMBER(AF269),AF269*Parámetros!$B$10,0)+IF(ISNUMBER(AG269),AG269*Parámetros!$B$11,0))/(IF(ISNUMBER(X269),Parámetros!$B$2,0)+IF(ISNUMBER(Y269),Parámetros!$B$3,0)+IF(ISNUMBER(Z269),Parámetros!$B$4,0)+IF(ISNUMBER(AA269),Parámetros!$B$5,0)+IF(ISNUMBER(AB269),Parámetros!$B$6,0)+IF(ISNUMBER(AC269),Parámetros!$B$7,0)+IF(ISNUMBER(AD269),Parámetros!$B$8,0)+IF(ISNUMBER(AE269),Parámetros!$B$9,0)+IF(ISNUMBER(AF269),Parámetros!$B$10,0)+IF(ISNUMBER(AG269),Parámetros!$B$11,0)))</f>
        <v/>
      </c>
      <c r="AJ269" s="47" t="n">
        <f aca="false">IF(AND(ISNUMBER(Y269),N(Y269)&lt;60),69.9,IF(OR(AND(ISNUMBER(AE269),N(AE269)&lt;80),AND(ISNUMBER(AC269),N(AC269)&lt;50,N(O269)&gt;=2)),84.9,100))</f>
        <v>100</v>
      </c>
      <c r="AK269" s="47" t="str">
        <f aca="false">IF(AI269="","",MIN(AI269,AJ269))</f>
        <v/>
      </c>
      <c r="AL269" s="47" t="str">
        <f aca="false">IF($C269="","",IF(AK269="","Gris — menos de 3 fuentes",IF(AND(AK269&lt;Parámetros!$B$14,N269&lt;&gt;"",N(N269)&lt;Parámetros!$B$15,N(Y269)&gt;=60),"Gris — repetir observación",IF(AK269&gt;=Parámetros!$B$13,"Verde",IF(AK269&gt;=Parámetros!$B$14,"Amarillo","Rojo")))))</f>
        <v/>
      </c>
      <c r="AM269" s="47" t="str">
        <f aca="false">IF($C269="","",IF(AND(ISNUMBER(Y269),N(Y269)&lt;60),"Ejecución &lt; 60 %: rojo automático",IF(AND(ISNUMBER(AE269),N(AE269)&lt;80),"PIAR &lt; 80 %: máximo amarillo",IF(AND(ISNUMBER(AC269),N(AC269)&lt;50,N(O269)&gt;=2),"Observación &lt; 50: máximo amarillo",IF(AND(N269&lt;&gt;"",N(N269)&lt;Parámetros!$B$15),"κ &lt; 0,60: observación descartada, repetir","")))))</f>
        <v/>
      </c>
    </row>
    <row r="270" customFormat="false" ht="15" hidden="false" customHeight="fals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7" t="str">
        <f aca="false">IF(N(E270)&gt;0,MIN(100,F270/E270*100),"")</f>
        <v/>
      </c>
      <c r="Y270" s="47" t="str">
        <f aca="false">IF(N(G270)&gt;0,MIN(100,H270/G270*100),"")</f>
        <v/>
      </c>
      <c r="Z270" s="47" t="str">
        <f aca="false">IF(N(I270)&gt;0,MIN(100,J270/I270*100),"")</f>
        <v/>
      </c>
      <c r="AA270" s="47" t="str">
        <f aca="false">IF(K270="","",K270/24*100)</f>
        <v/>
      </c>
      <c r="AB270" s="47" t="str">
        <f aca="false">IF(L270="","",L270/3*100)</f>
        <v/>
      </c>
      <c r="AC270" s="47" t="str">
        <f aca="false">IF(OR(M270="",AND(N270&lt;&gt;"",N(N270)&lt;Parámetros!$B$15)),"",MAX(0,MIN(100,(M270-1)/4*100)))</f>
        <v/>
      </c>
      <c r="AD270" s="47" t="str">
        <f aca="false">IF(OR(P270="",N(Q270)=0),"",MAX(0,MIN(100,((Q270/(Q270+Parámetros!$B$16))*P270+(Parámetros!$B$16/(Q270+Parámetros!$B$16))*Parámetros!$B$17-0.1)/0.4*100)))</f>
        <v/>
      </c>
      <c r="AE270" s="47" t="str">
        <f aca="false">IF(N(R270)&gt;0,MIN(100,S270/R270*100),"")</f>
        <v/>
      </c>
      <c r="AF270" s="47" t="str">
        <f aca="false">IF(N(U270)&gt;0,MIN(100,T270/(U270*5)*100),"")</f>
        <v/>
      </c>
      <c r="AG270" s="47" t="str">
        <f aca="false">IF(OR(V270="",N(W270)&lt;10),"",(V270-1)/4*100)</f>
        <v/>
      </c>
      <c r="AH270" s="47" t="str">
        <f aca="false">IF($C270="","",COUNT(X270:AG270))</f>
        <v/>
      </c>
      <c r="AI270" s="47" t="str">
        <f aca="false">IF(OR($C270="",N(AH270)&lt;Parámetros!$B$18),"",(IF(ISNUMBER(X270),X270*Parámetros!$B$2,0)+IF(ISNUMBER(Y270),Y270*Parámetros!$B$3,0)+IF(ISNUMBER(Z270),Z270*Parámetros!$B$4,0)+IF(ISNUMBER(AA270),AA270*Parámetros!$B$5,0)+IF(ISNUMBER(AB270),AB270*Parámetros!$B$6,0)+IF(ISNUMBER(AC270),AC270*Parámetros!$B$7,0)+IF(ISNUMBER(AD270),AD270*Parámetros!$B$8,0)+IF(ISNUMBER(AE270),AE270*Parámetros!$B$9,0)+IF(ISNUMBER(AF270),AF270*Parámetros!$B$10,0)+IF(ISNUMBER(AG270),AG270*Parámetros!$B$11,0))/(IF(ISNUMBER(X270),Parámetros!$B$2,0)+IF(ISNUMBER(Y270),Parámetros!$B$3,0)+IF(ISNUMBER(Z270),Parámetros!$B$4,0)+IF(ISNUMBER(AA270),Parámetros!$B$5,0)+IF(ISNUMBER(AB270),Parámetros!$B$6,0)+IF(ISNUMBER(AC270),Parámetros!$B$7,0)+IF(ISNUMBER(AD270),Parámetros!$B$8,0)+IF(ISNUMBER(AE270),Parámetros!$B$9,0)+IF(ISNUMBER(AF270),Parámetros!$B$10,0)+IF(ISNUMBER(AG270),Parámetros!$B$11,0)))</f>
        <v/>
      </c>
      <c r="AJ270" s="47" t="n">
        <f aca="false">IF(AND(ISNUMBER(Y270),N(Y270)&lt;60),69.9,IF(OR(AND(ISNUMBER(AE270),N(AE270)&lt;80),AND(ISNUMBER(AC270),N(AC270)&lt;50,N(O270)&gt;=2)),84.9,100))</f>
        <v>100</v>
      </c>
      <c r="AK270" s="47" t="str">
        <f aca="false">IF(AI270="","",MIN(AI270,AJ270))</f>
        <v/>
      </c>
      <c r="AL270" s="47" t="str">
        <f aca="false">IF($C270="","",IF(AK270="","Gris — menos de 3 fuentes",IF(AND(AK270&lt;Parámetros!$B$14,N270&lt;&gt;"",N(N270)&lt;Parámetros!$B$15,N(Y270)&gt;=60),"Gris — repetir observación",IF(AK270&gt;=Parámetros!$B$13,"Verde",IF(AK270&gt;=Parámetros!$B$14,"Amarillo","Rojo")))))</f>
        <v/>
      </c>
      <c r="AM270" s="47" t="str">
        <f aca="false">IF($C270="","",IF(AND(ISNUMBER(Y270),N(Y270)&lt;60),"Ejecución &lt; 60 %: rojo automático",IF(AND(ISNUMBER(AE270),N(AE270)&lt;80),"PIAR &lt; 80 %: máximo amarillo",IF(AND(ISNUMBER(AC270),N(AC270)&lt;50,N(O270)&gt;=2),"Observación &lt; 50: máximo amarillo",IF(AND(N270&lt;&gt;"",N(N270)&lt;Parámetros!$B$15),"κ &lt; 0,60: observación descartada, repetir","")))))</f>
        <v/>
      </c>
    </row>
    <row r="271" customFormat="false" ht="15" hidden="false" customHeight="fals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7" t="str">
        <f aca="false">IF(N(E271)&gt;0,MIN(100,F271/E271*100),"")</f>
        <v/>
      </c>
      <c r="Y271" s="47" t="str">
        <f aca="false">IF(N(G271)&gt;0,MIN(100,H271/G271*100),"")</f>
        <v/>
      </c>
      <c r="Z271" s="47" t="str">
        <f aca="false">IF(N(I271)&gt;0,MIN(100,J271/I271*100),"")</f>
        <v/>
      </c>
      <c r="AA271" s="47" t="str">
        <f aca="false">IF(K271="","",K271/24*100)</f>
        <v/>
      </c>
      <c r="AB271" s="47" t="str">
        <f aca="false">IF(L271="","",L271/3*100)</f>
        <v/>
      </c>
      <c r="AC271" s="47" t="str">
        <f aca="false">IF(OR(M271="",AND(N271&lt;&gt;"",N(N271)&lt;Parámetros!$B$15)),"",MAX(0,MIN(100,(M271-1)/4*100)))</f>
        <v/>
      </c>
      <c r="AD271" s="47" t="str">
        <f aca="false">IF(OR(P271="",N(Q271)=0),"",MAX(0,MIN(100,((Q271/(Q271+Parámetros!$B$16))*P271+(Parámetros!$B$16/(Q271+Parámetros!$B$16))*Parámetros!$B$17-0.1)/0.4*100)))</f>
        <v/>
      </c>
      <c r="AE271" s="47" t="str">
        <f aca="false">IF(N(R271)&gt;0,MIN(100,S271/R271*100),"")</f>
        <v/>
      </c>
      <c r="AF271" s="47" t="str">
        <f aca="false">IF(N(U271)&gt;0,MIN(100,T271/(U271*5)*100),"")</f>
        <v/>
      </c>
      <c r="AG271" s="47" t="str">
        <f aca="false">IF(OR(V271="",N(W271)&lt;10),"",(V271-1)/4*100)</f>
        <v/>
      </c>
      <c r="AH271" s="47" t="str">
        <f aca="false">IF($C271="","",COUNT(X271:AG271))</f>
        <v/>
      </c>
      <c r="AI271" s="47" t="str">
        <f aca="false">IF(OR($C271="",N(AH271)&lt;Parámetros!$B$18),"",(IF(ISNUMBER(X271),X271*Parámetros!$B$2,0)+IF(ISNUMBER(Y271),Y271*Parámetros!$B$3,0)+IF(ISNUMBER(Z271),Z271*Parámetros!$B$4,0)+IF(ISNUMBER(AA271),AA271*Parámetros!$B$5,0)+IF(ISNUMBER(AB271),AB271*Parámetros!$B$6,0)+IF(ISNUMBER(AC271),AC271*Parámetros!$B$7,0)+IF(ISNUMBER(AD271),AD271*Parámetros!$B$8,0)+IF(ISNUMBER(AE271),AE271*Parámetros!$B$9,0)+IF(ISNUMBER(AF271),AF271*Parámetros!$B$10,0)+IF(ISNUMBER(AG271),AG271*Parámetros!$B$11,0))/(IF(ISNUMBER(X271),Parámetros!$B$2,0)+IF(ISNUMBER(Y271),Parámetros!$B$3,0)+IF(ISNUMBER(Z271),Parámetros!$B$4,0)+IF(ISNUMBER(AA271),Parámetros!$B$5,0)+IF(ISNUMBER(AB271),Parámetros!$B$6,0)+IF(ISNUMBER(AC271),Parámetros!$B$7,0)+IF(ISNUMBER(AD271),Parámetros!$B$8,0)+IF(ISNUMBER(AE271),Parámetros!$B$9,0)+IF(ISNUMBER(AF271),Parámetros!$B$10,0)+IF(ISNUMBER(AG271),Parámetros!$B$11,0)))</f>
        <v/>
      </c>
      <c r="AJ271" s="47" t="n">
        <f aca="false">IF(AND(ISNUMBER(Y271),N(Y271)&lt;60),69.9,IF(OR(AND(ISNUMBER(AE271),N(AE271)&lt;80),AND(ISNUMBER(AC271),N(AC271)&lt;50,N(O271)&gt;=2)),84.9,100))</f>
        <v>100</v>
      </c>
      <c r="AK271" s="47" t="str">
        <f aca="false">IF(AI271="","",MIN(AI271,AJ271))</f>
        <v/>
      </c>
      <c r="AL271" s="47" t="str">
        <f aca="false">IF($C271="","",IF(AK271="","Gris — menos de 3 fuentes",IF(AND(AK271&lt;Parámetros!$B$14,N271&lt;&gt;"",N(N271)&lt;Parámetros!$B$15,N(Y271)&gt;=60),"Gris — repetir observación",IF(AK271&gt;=Parámetros!$B$13,"Verde",IF(AK271&gt;=Parámetros!$B$14,"Amarillo","Rojo")))))</f>
        <v/>
      </c>
      <c r="AM271" s="47" t="str">
        <f aca="false">IF($C271="","",IF(AND(ISNUMBER(Y271),N(Y271)&lt;60),"Ejecución &lt; 60 %: rojo automático",IF(AND(ISNUMBER(AE271),N(AE271)&lt;80),"PIAR &lt; 80 %: máximo amarillo",IF(AND(ISNUMBER(AC271),N(AC271)&lt;50,N(O271)&gt;=2),"Observación &lt; 50: máximo amarillo",IF(AND(N271&lt;&gt;"",N(N271)&lt;Parámetros!$B$15),"κ &lt; 0,60: observación descartada, repetir","")))))</f>
        <v/>
      </c>
    </row>
    <row r="272" customFormat="false" ht="15" hidden="false" customHeight="fals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7" t="str">
        <f aca="false">IF(N(E272)&gt;0,MIN(100,F272/E272*100),"")</f>
        <v/>
      </c>
      <c r="Y272" s="47" t="str">
        <f aca="false">IF(N(G272)&gt;0,MIN(100,H272/G272*100),"")</f>
        <v/>
      </c>
      <c r="Z272" s="47" t="str">
        <f aca="false">IF(N(I272)&gt;0,MIN(100,J272/I272*100),"")</f>
        <v/>
      </c>
      <c r="AA272" s="47" t="str">
        <f aca="false">IF(K272="","",K272/24*100)</f>
        <v/>
      </c>
      <c r="AB272" s="47" t="str">
        <f aca="false">IF(L272="","",L272/3*100)</f>
        <v/>
      </c>
      <c r="AC272" s="47" t="str">
        <f aca="false">IF(OR(M272="",AND(N272&lt;&gt;"",N(N272)&lt;Parámetros!$B$15)),"",MAX(0,MIN(100,(M272-1)/4*100)))</f>
        <v/>
      </c>
      <c r="AD272" s="47" t="str">
        <f aca="false">IF(OR(P272="",N(Q272)=0),"",MAX(0,MIN(100,((Q272/(Q272+Parámetros!$B$16))*P272+(Parámetros!$B$16/(Q272+Parámetros!$B$16))*Parámetros!$B$17-0.1)/0.4*100)))</f>
        <v/>
      </c>
      <c r="AE272" s="47" t="str">
        <f aca="false">IF(N(R272)&gt;0,MIN(100,S272/R272*100),"")</f>
        <v/>
      </c>
      <c r="AF272" s="47" t="str">
        <f aca="false">IF(N(U272)&gt;0,MIN(100,T272/(U272*5)*100),"")</f>
        <v/>
      </c>
      <c r="AG272" s="47" t="str">
        <f aca="false">IF(OR(V272="",N(W272)&lt;10),"",(V272-1)/4*100)</f>
        <v/>
      </c>
      <c r="AH272" s="47" t="str">
        <f aca="false">IF($C272="","",COUNT(X272:AG272))</f>
        <v/>
      </c>
      <c r="AI272" s="47" t="str">
        <f aca="false">IF(OR($C272="",N(AH272)&lt;Parámetros!$B$18),"",(IF(ISNUMBER(X272),X272*Parámetros!$B$2,0)+IF(ISNUMBER(Y272),Y272*Parámetros!$B$3,0)+IF(ISNUMBER(Z272),Z272*Parámetros!$B$4,0)+IF(ISNUMBER(AA272),AA272*Parámetros!$B$5,0)+IF(ISNUMBER(AB272),AB272*Parámetros!$B$6,0)+IF(ISNUMBER(AC272),AC272*Parámetros!$B$7,0)+IF(ISNUMBER(AD272),AD272*Parámetros!$B$8,0)+IF(ISNUMBER(AE272),AE272*Parámetros!$B$9,0)+IF(ISNUMBER(AF272),AF272*Parámetros!$B$10,0)+IF(ISNUMBER(AG272),AG272*Parámetros!$B$11,0))/(IF(ISNUMBER(X272),Parámetros!$B$2,0)+IF(ISNUMBER(Y272),Parámetros!$B$3,0)+IF(ISNUMBER(Z272),Parámetros!$B$4,0)+IF(ISNUMBER(AA272),Parámetros!$B$5,0)+IF(ISNUMBER(AB272),Parámetros!$B$6,0)+IF(ISNUMBER(AC272),Parámetros!$B$7,0)+IF(ISNUMBER(AD272),Parámetros!$B$8,0)+IF(ISNUMBER(AE272),Parámetros!$B$9,0)+IF(ISNUMBER(AF272),Parámetros!$B$10,0)+IF(ISNUMBER(AG272),Parámetros!$B$11,0)))</f>
        <v/>
      </c>
      <c r="AJ272" s="47" t="n">
        <f aca="false">IF(AND(ISNUMBER(Y272),N(Y272)&lt;60),69.9,IF(OR(AND(ISNUMBER(AE272),N(AE272)&lt;80),AND(ISNUMBER(AC272),N(AC272)&lt;50,N(O272)&gt;=2)),84.9,100))</f>
        <v>100</v>
      </c>
      <c r="AK272" s="47" t="str">
        <f aca="false">IF(AI272="","",MIN(AI272,AJ272))</f>
        <v/>
      </c>
      <c r="AL272" s="47" t="str">
        <f aca="false">IF($C272="","",IF(AK272="","Gris — menos de 3 fuentes",IF(AND(AK272&lt;Parámetros!$B$14,N272&lt;&gt;"",N(N272)&lt;Parámetros!$B$15,N(Y272)&gt;=60),"Gris — repetir observación",IF(AK272&gt;=Parámetros!$B$13,"Verde",IF(AK272&gt;=Parámetros!$B$14,"Amarillo","Rojo")))))</f>
        <v/>
      </c>
      <c r="AM272" s="47" t="str">
        <f aca="false">IF($C272="","",IF(AND(ISNUMBER(Y272),N(Y272)&lt;60),"Ejecución &lt; 60 %: rojo automático",IF(AND(ISNUMBER(AE272),N(AE272)&lt;80),"PIAR &lt; 80 %: máximo amarillo",IF(AND(ISNUMBER(AC272),N(AC272)&lt;50,N(O272)&gt;=2),"Observación &lt; 50: máximo amarillo",IF(AND(N272&lt;&gt;"",N(N272)&lt;Parámetros!$B$15),"κ &lt; 0,60: observación descartada, repetir","")))))</f>
        <v/>
      </c>
    </row>
    <row r="273" customFormat="false" ht="15" hidden="false" customHeight="fals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7" t="str">
        <f aca="false">IF(N(E273)&gt;0,MIN(100,F273/E273*100),"")</f>
        <v/>
      </c>
      <c r="Y273" s="47" t="str">
        <f aca="false">IF(N(G273)&gt;0,MIN(100,H273/G273*100),"")</f>
        <v/>
      </c>
      <c r="Z273" s="47" t="str">
        <f aca="false">IF(N(I273)&gt;0,MIN(100,J273/I273*100),"")</f>
        <v/>
      </c>
      <c r="AA273" s="47" t="str">
        <f aca="false">IF(K273="","",K273/24*100)</f>
        <v/>
      </c>
      <c r="AB273" s="47" t="str">
        <f aca="false">IF(L273="","",L273/3*100)</f>
        <v/>
      </c>
      <c r="AC273" s="47" t="str">
        <f aca="false">IF(OR(M273="",AND(N273&lt;&gt;"",N(N273)&lt;Parámetros!$B$15)),"",MAX(0,MIN(100,(M273-1)/4*100)))</f>
        <v/>
      </c>
      <c r="AD273" s="47" t="str">
        <f aca="false">IF(OR(P273="",N(Q273)=0),"",MAX(0,MIN(100,((Q273/(Q273+Parámetros!$B$16))*P273+(Parámetros!$B$16/(Q273+Parámetros!$B$16))*Parámetros!$B$17-0.1)/0.4*100)))</f>
        <v/>
      </c>
      <c r="AE273" s="47" t="str">
        <f aca="false">IF(N(R273)&gt;0,MIN(100,S273/R273*100),"")</f>
        <v/>
      </c>
      <c r="AF273" s="47" t="str">
        <f aca="false">IF(N(U273)&gt;0,MIN(100,T273/(U273*5)*100),"")</f>
        <v/>
      </c>
      <c r="AG273" s="47" t="str">
        <f aca="false">IF(OR(V273="",N(W273)&lt;10),"",(V273-1)/4*100)</f>
        <v/>
      </c>
      <c r="AH273" s="47" t="str">
        <f aca="false">IF($C273="","",COUNT(X273:AG273))</f>
        <v/>
      </c>
      <c r="AI273" s="47" t="str">
        <f aca="false">IF(OR($C273="",N(AH273)&lt;Parámetros!$B$18),"",(IF(ISNUMBER(X273),X273*Parámetros!$B$2,0)+IF(ISNUMBER(Y273),Y273*Parámetros!$B$3,0)+IF(ISNUMBER(Z273),Z273*Parámetros!$B$4,0)+IF(ISNUMBER(AA273),AA273*Parámetros!$B$5,0)+IF(ISNUMBER(AB273),AB273*Parámetros!$B$6,0)+IF(ISNUMBER(AC273),AC273*Parámetros!$B$7,0)+IF(ISNUMBER(AD273),AD273*Parámetros!$B$8,0)+IF(ISNUMBER(AE273),AE273*Parámetros!$B$9,0)+IF(ISNUMBER(AF273),AF273*Parámetros!$B$10,0)+IF(ISNUMBER(AG273),AG273*Parámetros!$B$11,0))/(IF(ISNUMBER(X273),Parámetros!$B$2,0)+IF(ISNUMBER(Y273),Parámetros!$B$3,0)+IF(ISNUMBER(Z273),Parámetros!$B$4,0)+IF(ISNUMBER(AA273),Parámetros!$B$5,0)+IF(ISNUMBER(AB273),Parámetros!$B$6,0)+IF(ISNUMBER(AC273),Parámetros!$B$7,0)+IF(ISNUMBER(AD273),Parámetros!$B$8,0)+IF(ISNUMBER(AE273),Parámetros!$B$9,0)+IF(ISNUMBER(AF273),Parámetros!$B$10,0)+IF(ISNUMBER(AG273),Parámetros!$B$11,0)))</f>
        <v/>
      </c>
      <c r="AJ273" s="47" t="n">
        <f aca="false">IF(AND(ISNUMBER(Y273),N(Y273)&lt;60),69.9,IF(OR(AND(ISNUMBER(AE273),N(AE273)&lt;80),AND(ISNUMBER(AC273),N(AC273)&lt;50,N(O273)&gt;=2)),84.9,100))</f>
        <v>100</v>
      </c>
      <c r="AK273" s="47" t="str">
        <f aca="false">IF(AI273="","",MIN(AI273,AJ273))</f>
        <v/>
      </c>
      <c r="AL273" s="47" t="str">
        <f aca="false">IF($C273="","",IF(AK273="","Gris — menos de 3 fuentes",IF(AND(AK273&lt;Parámetros!$B$14,N273&lt;&gt;"",N(N273)&lt;Parámetros!$B$15,N(Y273)&gt;=60),"Gris — repetir observación",IF(AK273&gt;=Parámetros!$B$13,"Verde",IF(AK273&gt;=Parámetros!$B$14,"Amarillo","Rojo")))))</f>
        <v/>
      </c>
      <c r="AM273" s="47" t="str">
        <f aca="false">IF($C273="","",IF(AND(ISNUMBER(Y273),N(Y273)&lt;60),"Ejecución &lt; 60 %: rojo automático",IF(AND(ISNUMBER(AE273),N(AE273)&lt;80),"PIAR &lt; 80 %: máximo amarillo",IF(AND(ISNUMBER(AC273),N(AC273)&lt;50,N(O273)&gt;=2),"Observación &lt; 50: máximo amarillo",IF(AND(N273&lt;&gt;"",N(N273)&lt;Parámetros!$B$15),"κ &lt; 0,60: observación descartada, repetir","")))))</f>
        <v/>
      </c>
    </row>
    <row r="274" customFormat="false" ht="15" hidden="false" customHeight="fals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7" t="str">
        <f aca="false">IF(N(E274)&gt;0,MIN(100,F274/E274*100),"")</f>
        <v/>
      </c>
      <c r="Y274" s="47" t="str">
        <f aca="false">IF(N(G274)&gt;0,MIN(100,H274/G274*100),"")</f>
        <v/>
      </c>
      <c r="Z274" s="47" t="str">
        <f aca="false">IF(N(I274)&gt;0,MIN(100,J274/I274*100),"")</f>
        <v/>
      </c>
      <c r="AA274" s="47" t="str">
        <f aca="false">IF(K274="","",K274/24*100)</f>
        <v/>
      </c>
      <c r="AB274" s="47" t="str">
        <f aca="false">IF(L274="","",L274/3*100)</f>
        <v/>
      </c>
      <c r="AC274" s="47" t="str">
        <f aca="false">IF(OR(M274="",AND(N274&lt;&gt;"",N(N274)&lt;Parámetros!$B$15)),"",MAX(0,MIN(100,(M274-1)/4*100)))</f>
        <v/>
      </c>
      <c r="AD274" s="47" t="str">
        <f aca="false">IF(OR(P274="",N(Q274)=0),"",MAX(0,MIN(100,((Q274/(Q274+Parámetros!$B$16))*P274+(Parámetros!$B$16/(Q274+Parámetros!$B$16))*Parámetros!$B$17-0.1)/0.4*100)))</f>
        <v/>
      </c>
      <c r="AE274" s="47" t="str">
        <f aca="false">IF(N(R274)&gt;0,MIN(100,S274/R274*100),"")</f>
        <v/>
      </c>
      <c r="AF274" s="47" t="str">
        <f aca="false">IF(N(U274)&gt;0,MIN(100,T274/(U274*5)*100),"")</f>
        <v/>
      </c>
      <c r="AG274" s="47" t="str">
        <f aca="false">IF(OR(V274="",N(W274)&lt;10),"",(V274-1)/4*100)</f>
        <v/>
      </c>
      <c r="AH274" s="47" t="str">
        <f aca="false">IF($C274="","",COUNT(X274:AG274))</f>
        <v/>
      </c>
      <c r="AI274" s="47" t="str">
        <f aca="false">IF(OR($C274="",N(AH274)&lt;Parámetros!$B$18),"",(IF(ISNUMBER(X274),X274*Parámetros!$B$2,0)+IF(ISNUMBER(Y274),Y274*Parámetros!$B$3,0)+IF(ISNUMBER(Z274),Z274*Parámetros!$B$4,0)+IF(ISNUMBER(AA274),AA274*Parámetros!$B$5,0)+IF(ISNUMBER(AB274),AB274*Parámetros!$B$6,0)+IF(ISNUMBER(AC274),AC274*Parámetros!$B$7,0)+IF(ISNUMBER(AD274),AD274*Parámetros!$B$8,0)+IF(ISNUMBER(AE274),AE274*Parámetros!$B$9,0)+IF(ISNUMBER(AF274),AF274*Parámetros!$B$10,0)+IF(ISNUMBER(AG274),AG274*Parámetros!$B$11,0))/(IF(ISNUMBER(X274),Parámetros!$B$2,0)+IF(ISNUMBER(Y274),Parámetros!$B$3,0)+IF(ISNUMBER(Z274),Parámetros!$B$4,0)+IF(ISNUMBER(AA274),Parámetros!$B$5,0)+IF(ISNUMBER(AB274),Parámetros!$B$6,0)+IF(ISNUMBER(AC274),Parámetros!$B$7,0)+IF(ISNUMBER(AD274),Parámetros!$B$8,0)+IF(ISNUMBER(AE274),Parámetros!$B$9,0)+IF(ISNUMBER(AF274),Parámetros!$B$10,0)+IF(ISNUMBER(AG274),Parámetros!$B$11,0)))</f>
        <v/>
      </c>
      <c r="AJ274" s="47" t="n">
        <f aca="false">IF(AND(ISNUMBER(Y274),N(Y274)&lt;60),69.9,IF(OR(AND(ISNUMBER(AE274),N(AE274)&lt;80),AND(ISNUMBER(AC274),N(AC274)&lt;50,N(O274)&gt;=2)),84.9,100))</f>
        <v>100</v>
      </c>
      <c r="AK274" s="47" t="str">
        <f aca="false">IF(AI274="","",MIN(AI274,AJ274))</f>
        <v/>
      </c>
      <c r="AL274" s="47" t="str">
        <f aca="false">IF($C274="","",IF(AK274="","Gris — menos de 3 fuentes",IF(AND(AK274&lt;Parámetros!$B$14,N274&lt;&gt;"",N(N274)&lt;Parámetros!$B$15,N(Y274)&gt;=60),"Gris — repetir observación",IF(AK274&gt;=Parámetros!$B$13,"Verde",IF(AK274&gt;=Parámetros!$B$14,"Amarillo","Rojo")))))</f>
        <v/>
      </c>
      <c r="AM274" s="47" t="str">
        <f aca="false">IF($C274="","",IF(AND(ISNUMBER(Y274),N(Y274)&lt;60),"Ejecución &lt; 60 %: rojo automático",IF(AND(ISNUMBER(AE274),N(AE274)&lt;80),"PIAR &lt; 80 %: máximo amarillo",IF(AND(ISNUMBER(AC274),N(AC274)&lt;50,N(O274)&gt;=2),"Observación &lt; 50: máximo amarillo",IF(AND(N274&lt;&gt;"",N(N274)&lt;Parámetros!$B$15),"κ &lt; 0,60: observación descartada, repetir","")))))</f>
        <v/>
      </c>
    </row>
    <row r="275" customFormat="false" ht="15" hidden="false" customHeight="fals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7" t="str">
        <f aca="false">IF(N(E275)&gt;0,MIN(100,F275/E275*100),"")</f>
        <v/>
      </c>
      <c r="Y275" s="47" t="str">
        <f aca="false">IF(N(G275)&gt;0,MIN(100,H275/G275*100),"")</f>
        <v/>
      </c>
      <c r="Z275" s="47" t="str">
        <f aca="false">IF(N(I275)&gt;0,MIN(100,J275/I275*100),"")</f>
        <v/>
      </c>
      <c r="AA275" s="47" t="str">
        <f aca="false">IF(K275="","",K275/24*100)</f>
        <v/>
      </c>
      <c r="AB275" s="47" t="str">
        <f aca="false">IF(L275="","",L275/3*100)</f>
        <v/>
      </c>
      <c r="AC275" s="47" t="str">
        <f aca="false">IF(OR(M275="",AND(N275&lt;&gt;"",N(N275)&lt;Parámetros!$B$15)),"",MAX(0,MIN(100,(M275-1)/4*100)))</f>
        <v/>
      </c>
      <c r="AD275" s="47" t="str">
        <f aca="false">IF(OR(P275="",N(Q275)=0),"",MAX(0,MIN(100,((Q275/(Q275+Parámetros!$B$16))*P275+(Parámetros!$B$16/(Q275+Parámetros!$B$16))*Parámetros!$B$17-0.1)/0.4*100)))</f>
        <v/>
      </c>
      <c r="AE275" s="47" t="str">
        <f aca="false">IF(N(R275)&gt;0,MIN(100,S275/R275*100),"")</f>
        <v/>
      </c>
      <c r="AF275" s="47" t="str">
        <f aca="false">IF(N(U275)&gt;0,MIN(100,T275/(U275*5)*100),"")</f>
        <v/>
      </c>
      <c r="AG275" s="47" t="str">
        <f aca="false">IF(OR(V275="",N(W275)&lt;10),"",(V275-1)/4*100)</f>
        <v/>
      </c>
      <c r="AH275" s="47" t="str">
        <f aca="false">IF($C275="","",COUNT(X275:AG275))</f>
        <v/>
      </c>
      <c r="AI275" s="47" t="str">
        <f aca="false">IF(OR($C275="",N(AH275)&lt;Parámetros!$B$18),"",(IF(ISNUMBER(X275),X275*Parámetros!$B$2,0)+IF(ISNUMBER(Y275),Y275*Parámetros!$B$3,0)+IF(ISNUMBER(Z275),Z275*Parámetros!$B$4,0)+IF(ISNUMBER(AA275),AA275*Parámetros!$B$5,0)+IF(ISNUMBER(AB275),AB275*Parámetros!$B$6,0)+IF(ISNUMBER(AC275),AC275*Parámetros!$B$7,0)+IF(ISNUMBER(AD275),AD275*Parámetros!$B$8,0)+IF(ISNUMBER(AE275),AE275*Parámetros!$B$9,0)+IF(ISNUMBER(AF275),AF275*Parámetros!$B$10,0)+IF(ISNUMBER(AG275),AG275*Parámetros!$B$11,0))/(IF(ISNUMBER(X275),Parámetros!$B$2,0)+IF(ISNUMBER(Y275),Parámetros!$B$3,0)+IF(ISNUMBER(Z275),Parámetros!$B$4,0)+IF(ISNUMBER(AA275),Parámetros!$B$5,0)+IF(ISNUMBER(AB275),Parámetros!$B$6,0)+IF(ISNUMBER(AC275),Parámetros!$B$7,0)+IF(ISNUMBER(AD275),Parámetros!$B$8,0)+IF(ISNUMBER(AE275),Parámetros!$B$9,0)+IF(ISNUMBER(AF275),Parámetros!$B$10,0)+IF(ISNUMBER(AG275),Parámetros!$B$11,0)))</f>
        <v/>
      </c>
      <c r="AJ275" s="47" t="n">
        <f aca="false">IF(AND(ISNUMBER(Y275),N(Y275)&lt;60),69.9,IF(OR(AND(ISNUMBER(AE275),N(AE275)&lt;80),AND(ISNUMBER(AC275),N(AC275)&lt;50,N(O275)&gt;=2)),84.9,100))</f>
        <v>100</v>
      </c>
      <c r="AK275" s="47" t="str">
        <f aca="false">IF(AI275="","",MIN(AI275,AJ275))</f>
        <v/>
      </c>
      <c r="AL275" s="47" t="str">
        <f aca="false">IF($C275="","",IF(AK275="","Gris — menos de 3 fuentes",IF(AND(AK275&lt;Parámetros!$B$14,N275&lt;&gt;"",N(N275)&lt;Parámetros!$B$15,N(Y275)&gt;=60),"Gris — repetir observación",IF(AK275&gt;=Parámetros!$B$13,"Verde",IF(AK275&gt;=Parámetros!$B$14,"Amarillo","Rojo")))))</f>
        <v/>
      </c>
      <c r="AM275" s="47" t="str">
        <f aca="false">IF($C275="","",IF(AND(ISNUMBER(Y275),N(Y275)&lt;60),"Ejecución &lt; 60 %: rojo automático",IF(AND(ISNUMBER(AE275),N(AE275)&lt;80),"PIAR &lt; 80 %: máximo amarillo",IF(AND(ISNUMBER(AC275),N(AC275)&lt;50,N(O275)&gt;=2),"Observación &lt; 50: máximo amarillo",IF(AND(N275&lt;&gt;"",N(N275)&lt;Parámetros!$B$15),"κ &lt; 0,60: observación descartada, repetir","")))))</f>
        <v/>
      </c>
    </row>
    <row r="276" customFormat="false" ht="15" hidden="false" customHeight="fals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7" t="str">
        <f aca="false">IF(N(E276)&gt;0,MIN(100,F276/E276*100),"")</f>
        <v/>
      </c>
      <c r="Y276" s="47" t="str">
        <f aca="false">IF(N(G276)&gt;0,MIN(100,H276/G276*100),"")</f>
        <v/>
      </c>
      <c r="Z276" s="47" t="str">
        <f aca="false">IF(N(I276)&gt;0,MIN(100,J276/I276*100),"")</f>
        <v/>
      </c>
      <c r="AA276" s="47" t="str">
        <f aca="false">IF(K276="","",K276/24*100)</f>
        <v/>
      </c>
      <c r="AB276" s="47" t="str">
        <f aca="false">IF(L276="","",L276/3*100)</f>
        <v/>
      </c>
      <c r="AC276" s="47" t="str">
        <f aca="false">IF(OR(M276="",AND(N276&lt;&gt;"",N(N276)&lt;Parámetros!$B$15)),"",MAX(0,MIN(100,(M276-1)/4*100)))</f>
        <v/>
      </c>
      <c r="AD276" s="47" t="str">
        <f aca="false">IF(OR(P276="",N(Q276)=0),"",MAX(0,MIN(100,((Q276/(Q276+Parámetros!$B$16))*P276+(Parámetros!$B$16/(Q276+Parámetros!$B$16))*Parámetros!$B$17-0.1)/0.4*100)))</f>
        <v/>
      </c>
      <c r="AE276" s="47" t="str">
        <f aca="false">IF(N(R276)&gt;0,MIN(100,S276/R276*100),"")</f>
        <v/>
      </c>
      <c r="AF276" s="47" t="str">
        <f aca="false">IF(N(U276)&gt;0,MIN(100,T276/(U276*5)*100),"")</f>
        <v/>
      </c>
      <c r="AG276" s="47" t="str">
        <f aca="false">IF(OR(V276="",N(W276)&lt;10),"",(V276-1)/4*100)</f>
        <v/>
      </c>
      <c r="AH276" s="47" t="str">
        <f aca="false">IF($C276="","",COUNT(X276:AG276))</f>
        <v/>
      </c>
      <c r="AI276" s="47" t="str">
        <f aca="false">IF(OR($C276="",N(AH276)&lt;Parámetros!$B$18),"",(IF(ISNUMBER(X276),X276*Parámetros!$B$2,0)+IF(ISNUMBER(Y276),Y276*Parámetros!$B$3,0)+IF(ISNUMBER(Z276),Z276*Parámetros!$B$4,0)+IF(ISNUMBER(AA276),AA276*Parámetros!$B$5,0)+IF(ISNUMBER(AB276),AB276*Parámetros!$B$6,0)+IF(ISNUMBER(AC276),AC276*Parámetros!$B$7,0)+IF(ISNUMBER(AD276),AD276*Parámetros!$B$8,0)+IF(ISNUMBER(AE276),AE276*Parámetros!$B$9,0)+IF(ISNUMBER(AF276),AF276*Parámetros!$B$10,0)+IF(ISNUMBER(AG276),AG276*Parámetros!$B$11,0))/(IF(ISNUMBER(X276),Parámetros!$B$2,0)+IF(ISNUMBER(Y276),Parámetros!$B$3,0)+IF(ISNUMBER(Z276),Parámetros!$B$4,0)+IF(ISNUMBER(AA276),Parámetros!$B$5,0)+IF(ISNUMBER(AB276),Parámetros!$B$6,0)+IF(ISNUMBER(AC276),Parámetros!$B$7,0)+IF(ISNUMBER(AD276),Parámetros!$B$8,0)+IF(ISNUMBER(AE276),Parámetros!$B$9,0)+IF(ISNUMBER(AF276),Parámetros!$B$10,0)+IF(ISNUMBER(AG276),Parámetros!$B$11,0)))</f>
        <v/>
      </c>
      <c r="AJ276" s="47" t="n">
        <f aca="false">IF(AND(ISNUMBER(Y276),N(Y276)&lt;60),69.9,IF(OR(AND(ISNUMBER(AE276),N(AE276)&lt;80),AND(ISNUMBER(AC276),N(AC276)&lt;50,N(O276)&gt;=2)),84.9,100))</f>
        <v>100</v>
      </c>
      <c r="AK276" s="47" t="str">
        <f aca="false">IF(AI276="","",MIN(AI276,AJ276))</f>
        <v/>
      </c>
      <c r="AL276" s="47" t="str">
        <f aca="false">IF($C276="","",IF(AK276="","Gris — menos de 3 fuentes",IF(AND(AK276&lt;Parámetros!$B$14,N276&lt;&gt;"",N(N276)&lt;Parámetros!$B$15,N(Y276)&gt;=60),"Gris — repetir observación",IF(AK276&gt;=Parámetros!$B$13,"Verde",IF(AK276&gt;=Parámetros!$B$14,"Amarillo","Rojo")))))</f>
        <v/>
      </c>
      <c r="AM276" s="47" t="str">
        <f aca="false">IF($C276="","",IF(AND(ISNUMBER(Y276),N(Y276)&lt;60),"Ejecución &lt; 60 %: rojo automático",IF(AND(ISNUMBER(AE276),N(AE276)&lt;80),"PIAR &lt; 80 %: máximo amarillo",IF(AND(ISNUMBER(AC276),N(AC276)&lt;50,N(O276)&gt;=2),"Observación &lt; 50: máximo amarillo",IF(AND(N276&lt;&gt;"",N(N276)&lt;Parámetros!$B$15),"κ &lt; 0,60: observación descartada, repetir","")))))</f>
        <v/>
      </c>
    </row>
    <row r="277" customFormat="false" ht="15" hidden="false" customHeight="fals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7" t="str">
        <f aca="false">IF(N(E277)&gt;0,MIN(100,F277/E277*100),"")</f>
        <v/>
      </c>
      <c r="Y277" s="47" t="str">
        <f aca="false">IF(N(G277)&gt;0,MIN(100,H277/G277*100),"")</f>
        <v/>
      </c>
      <c r="Z277" s="47" t="str">
        <f aca="false">IF(N(I277)&gt;0,MIN(100,J277/I277*100),"")</f>
        <v/>
      </c>
      <c r="AA277" s="47" t="str">
        <f aca="false">IF(K277="","",K277/24*100)</f>
        <v/>
      </c>
      <c r="AB277" s="47" t="str">
        <f aca="false">IF(L277="","",L277/3*100)</f>
        <v/>
      </c>
      <c r="AC277" s="47" t="str">
        <f aca="false">IF(OR(M277="",AND(N277&lt;&gt;"",N(N277)&lt;Parámetros!$B$15)),"",MAX(0,MIN(100,(M277-1)/4*100)))</f>
        <v/>
      </c>
      <c r="AD277" s="47" t="str">
        <f aca="false">IF(OR(P277="",N(Q277)=0),"",MAX(0,MIN(100,((Q277/(Q277+Parámetros!$B$16))*P277+(Parámetros!$B$16/(Q277+Parámetros!$B$16))*Parámetros!$B$17-0.1)/0.4*100)))</f>
        <v/>
      </c>
      <c r="AE277" s="47" t="str">
        <f aca="false">IF(N(R277)&gt;0,MIN(100,S277/R277*100),"")</f>
        <v/>
      </c>
      <c r="AF277" s="47" t="str">
        <f aca="false">IF(N(U277)&gt;0,MIN(100,T277/(U277*5)*100),"")</f>
        <v/>
      </c>
      <c r="AG277" s="47" t="str">
        <f aca="false">IF(OR(V277="",N(W277)&lt;10),"",(V277-1)/4*100)</f>
        <v/>
      </c>
      <c r="AH277" s="47" t="str">
        <f aca="false">IF($C277="","",COUNT(X277:AG277))</f>
        <v/>
      </c>
      <c r="AI277" s="47" t="str">
        <f aca="false">IF(OR($C277="",N(AH277)&lt;Parámetros!$B$18),"",(IF(ISNUMBER(X277),X277*Parámetros!$B$2,0)+IF(ISNUMBER(Y277),Y277*Parámetros!$B$3,0)+IF(ISNUMBER(Z277),Z277*Parámetros!$B$4,0)+IF(ISNUMBER(AA277),AA277*Parámetros!$B$5,0)+IF(ISNUMBER(AB277),AB277*Parámetros!$B$6,0)+IF(ISNUMBER(AC277),AC277*Parámetros!$B$7,0)+IF(ISNUMBER(AD277),AD277*Parámetros!$B$8,0)+IF(ISNUMBER(AE277),AE277*Parámetros!$B$9,0)+IF(ISNUMBER(AF277),AF277*Parámetros!$B$10,0)+IF(ISNUMBER(AG277),AG277*Parámetros!$B$11,0))/(IF(ISNUMBER(X277),Parámetros!$B$2,0)+IF(ISNUMBER(Y277),Parámetros!$B$3,0)+IF(ISNUMBER(Z277),Parámetros!$B$4,0)+IF(ISNUMBER(AA277),Parámetros!$B$5,0)+IF(ISNUMBER(AB277),Parámetros!$B$6,0)+IF(ISNUMBER(AC277),Parámetros!$B$7,0)+IF(ISNUMBER(AD277),Parámetros!$B$8,0)+IF(ISNUMBER(AE277),Parámetros!$B$9,0)+IF(ISNUMBER(AF277),Parámetros!$B$10,0)+IF(ISNUMBER(AG277),Parámetros!$B$11,0)))</f>
        <v/>
      </c>
      <c r="AJ277" s="47" t="n">
        <f aca="false">IF(AND(ISNUMBER(Y277),N(Y277)&lt;60),69.9,IF(OR(AND(ISNUMBER(AE277),N(AE277)&lt;80),AND(ISNUMBER(AC277),N(AC277)&lt;50,N(O277)&gt;=2)),84.9,100))</f>
        <v>100</v>
      </c>
      <c r="AK277" s="47" t="str">
        <f aca="false">IF(AI277="","",MIN(AI277,AJ277))</f>
        <v/>
      </c>
      <c r="AL277" s="47" t="str">
        <f aca="false">IF($C277="","",IF(AK277="","Gris — menos de 3 fuentes",IF(AND(AK277&lt;Parámetros!$B$14,N277&lt;&gt;"",N(N277)&lt;Parámetros!$B$15,N(Y277)&gt;=60),"Gris — repetir observación",IF(AK277&gt;=Parámetros!$B$13,"Verde",IF(AK277&gt;=Parámetros!$B$14,"Amarillo","Rojo")))))</f>
        <v/>
      </c>
      <c r="AM277" s="47" t="str">
        <f aca="false">IF($C277="","",IF(AND(ISNUMBER(Y277),N(Y277)&lt;60),"Ejecución &lt; 60 %: rojo automático",IF(AND(ISNUMBER(AE277),N(AE277)&lt;80),"PIAR &lt; 80 %: máximo amarillo",IF(AND(ISNUMBER(AC277),N(AC277)&lt;50,N(O277)&gt;=2),"Observación &lt; 50: máximo amarillo",IF(AND(N277&lt;&gt;"",N(N277)&lt;Parámetros!$B$15),"κ &lt; 0,60: observación descartada, repetir","")))))</f>
        <v/>
      </c>
    </row>
    <row r="278" customFormat="false" ht="15" hidden="false" customHeight="fals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7" t="str">
        <f aca="false">IF(N(E278)&gt;0,MIN(100,F278/E278*100),"")</f>
        <v/>
      </c>
      <c r="Y278" s="47" t="str">
        <f aca="false">IF(N(G278)&gt;0,MIN(100,H278/G278*100),"")</f>
        <v/>
      </c>
      <c r="Z278" s="47" t="str">
        <f aca="false">IF(N(I278)&gt;0,MIN(100,J278/I278*100),"")</f>
        <v/>
      </c>
      <c r="AA278" s="47" t="str">
        <f aca="false">IF(K278="","",K278/24*100)</f>
        <v/>
      </c>
      <c r="AB278" s="47" t="str">
        <f aca="false">IF(L278="","",L278/3*100)</f>
        <v/>
      </c>
      <c r="AC278" s="47" t="str">
        <f aca="false">IF(OR(M278="",AND(N278&lt;&gt;"",N(N278)&lt;Parámetros!$B$15)),"",MAX(0,MIN(100,(M278-1)/4*100)))</f>
        <v/>
      </c>
      <c r="AD278" s="47" t="str">
        <f aca="false">IF(OR(P278="",N(Q278)=0),"",MAX(0,MIN(100,((Q278/(Q278+Parámetros!$B$16))*P278+(Parámetros!$B$16/(Q278+Parámetros!$B$16))*Parámetros!$B$17-0.1)/0.4*100)))</f>
        <v/>
      </c>
      <c r="AE278" s="47" t="str">
        <f aca="false">IF(N(R278)&gt;0,MIN(100,S278/R278*100),"")</f>
        <v/>
      </c>
      <c r="AF278" s="47" t="str">
        <f aca="false">IF(N(U278)&gt;0,MIN(100,T278/(U278*5)*100),"")</f>
        <v/>
      </c>
      <c r="AG278" s="47" t="str">
        <f aca="false">IF(OR(V278="",N(W278)&lt;10),"",(V278-1)/4*100)</f>
        <v/>
      </c>
      <c r="AH278" s="47" t="str">
        <f aca="false">IF($C278="","",COUNT(X278:AG278))</f>
        <v/>
      </c>
      <c r="AI278" s="47" t="str">
        <f aca="false">IF(OR($C278="",N(AH278)&lt;Parámetros!$B$18),"",(IF(ISNUMBER(X278),X278*Parámetros!$B$2,0)+IF(ISNUMBER(Y278),Y278*Parámetros!$B$3,0)+IF(ISNUMBER(Z278),Z278*Parámetros!$B$4,0)+IF(ISNUMBER(AA278),AA278*Parámetros!$B$5,0)+IF(ISNUMBER(AB278),AB278*Parámetros!$B$6,0)+IF(ISNUMBER(AC278),AC278*Parámetros!$B$7,0)+IF(ISNUMBER(AD278),AD278*Parámetros!$B$8,0)+IF(ISNUMBER(AE278),AE278*Parámetros!$B$9,0)+IF(ISNUMBER(AF278),AF278*Parámetros!$B$10,0)+IF(ISNUMBER(AG278),AG278*Parámetros!$B$11,0))/(IF(ISNUMBER(X278),Parámetros!$B$2,0)+IF(ISNUMBER(Y278),Parámetros!$B$3,0)+IF(ISNUMBER(Z278),Parámetros!$B$4,0)+IF(ISNUMBER(AA278),Parámetros!$B$5,0)+IF(ISNUMBER(AB278),Parámetros!$B$6,0)+IF(ISNUMBER(AC278),Parámetros!$B$7,0)+IF(ISNUMBER(AD278),Parámetros!$B$8,0)+IF(ISNUMBER(AE278),Parámetros!$B$9,0)+IF(ISNUMBER(AF278),Parámetros!$B$10,0)+IF(ISNUMBER(AG278),Parámetros!$B$11,0)))</f>
        <v/>
      </c>
      <c r="AJ278" s="47" t="n">
        <f aca="false">IF(AND(ISNUMBER(Y278),N(Y278)&lt;60),69.9,IF(OR(AND(ISNUMBER(AE278),N(AE278)&lt;80),AND(ISNUMBER(AC278),N(AC278)&lt;50,N(O278)&gt;=2)),84.9,100))</f>
        <v>100</v>
      </c>
      <c r="AK278" s="47" t="str">
        <f aca="false">IF(AI278="","",MIN(AI278,AJ278))</f>
        <v/>
      </c>
      <c r="AL278" s="47" t="str">
        <f aca="false">IF($C278="","",IF(AK278="","Gris — menos de 3 fuentes",IF(AND(AK278&lt;Parámetros!$B$14,N278&lt;&gt;"",N(N278)&lt;Parámetros!$B$15,N(Y278)&gt;=60),"Gris — repetir observación",IF(AK278&gt;=Parámetros!$B$13,"Verde",IF(AK278&gt;=Parámetros!$B$14,"Amarillo","Rojo")))))</f>
        <v/>
      </c>
      <c r="AM278" s="47" t="str">
        <f aca="false">IF($C278="","",IF(AND(ISNUMBER(Y278),N(Y278)&lt;60),"Ejecución &lt; 60 %: rojo automático",IF(AND(ISNUMBER(AE278),N(AE278)&lt;80),"PIAR &lt; 80 %: máximo amarillo",IF(AND(ISNUMBER(AC278),N(AC278)&lt;50,N(O278)&gt;=2),"Observación &lt; 50: máximo amarillo",IF(AND(N278&lt;&gt;"",N(N278)&lt;Parámetros!$B$15),"κ &lt; 0,60: observación descartada, repetir","")))))</f>
        <v/>
      </c>
    </row>
    <row r="279" customFormat="false" ht="15" hidden="false" customHeight="fals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7" t="str">
        <f aca="false">IF(N(E279)&gt;0,MIN(100,F279/E279*100),"")</f>
        <v/>
      </c>
      <c r="Y279" s="47" t="str">
        <f aca="false">IF(N(G279)&gt;0,MIN(100,H279/G279*100),"")</f>
        <v/>
      </c>
      <c r="Z279" s="47" t="str">
        <f aca="false">IF(N(I279)&gt;0,MIN(100,J279/I279*100),"")</f>
        <v/>
      </c>
      <c r="AA279" s="47" t="str">
        <f aca="false">IF(K279="","",K279/24*100)</f>
        <v/>
      </c>
      <c r="AB279" s="47" t="str">
        <f aca="false">IF(L279="","",L279/3*100)</f>
        <v/>
      </c>
      <c r="AC279" s="47" t="str">
        <f aca="false">IF(OR(M279="",AND(N279&lt;&gt;"",N(N279)&lt;Parámetros!$B$15)),"",MAX(0,MIN(100,(M279-1)/4*100)))</f>
        <v/>
      </c>
      <c r="AD279" s="47" t="str">
        <f aca="false">IF(OR(P279="",N(Q279)=0),"",MAX(0,MIN(100,((Q279/(Q279+Parámetros!$B$16))*P279+(Parámetros!$B$16/(Q279+Parámetros!$B$16))*Parámetros!$B$17-0.1)/0.4*100)))</f>
        <v/>
      </c>
      <c r="AE279" s="47" t="str">
        <f aca="false">IF(N(R279)&gt;0,MIN(100,S279/R279*100),"")</f>
        <v/>
      </c>
      <c r="AF279" s="47" t="str">
        <f aca="false">IF(N(U279)&gt;0,MIN(100,T279/(U279*5)*100),"")</f>
        <v/>
      </c>
      <c r="AG279" s="47" t="str">
        <f aca="false">IF(OR(V279="",N(W279)&lt;10),"",(V279-1)/4*100)</f>
        <v/>
      </c>
      <c r="AH279" s="47" t="str">
        <f aca="false">IF($C279="","",COUNT(X279:AG279))</f>
        <v/>
      </c>
      <c r="AI279" s="47" t="str">
        <f aca="false">IF(OR($C279="",N(AH279)&lt;Parámetros!$B$18),"",(IF(ISNUMBER(X279),X279*Parámetros!$B$2,0)+IF(ISNUMBER(Y279),Y279*Parámetros!$B$3,0)+IF(ISNUMBER(Z279),Z279*Parámetros!$B$4,0)+IF(ISNUMBER(AA279),AA279*Parámetros!$B$5,0)+IF(ISNUMBER(AB279),AB279*Parámetros!$B$6,0)+IF(ISNUMBER(AC279),AC279*Parámetros!$B$7,0)+IF(ISNUMBER(AD279),AD279*Parámetros!$B$8,0)+IF(ISNUMBER(AE279),AE279*Parámetros!$B$9,0)+IF(ISNUMBER(AF279),AF279*Parámetros!$B$10,0)+IF(ISNUMBER(AG279),AG279*Parámetros!$B$11,0))/(IF(ISNUMBER(X279),Parámetros!$B$2,0)+IF(ISNUMBER(Y279),Parámetros!$B$3,0)+IF(ISNUMBER(Z279),Parámetros!$B$4,0)+IF(ISNUMBER(AA279),Parámetros!$B$5,0)+IF(ISNUMBER(AB279),Parámetros!$B$6,0)+IF(ISNUMBER(AC279),Parámetros!$B$7,0)+IF(ISNUMBER(AD279),Parámetros!$B$8,0)+IF(ISNUMBER(AE279),Parámetros!$B$9,0)+IF(ISNUMBER(AF279),Parámetros!$B$10,0)+IF(ISNUMBER(AG279),Parámetros!$B$11,0)))</f>
        <v/>
      </c>
      <c r="AJ279" s="47" t="n">
        <f aca="false">IF(AND(ISNUMBER(Y279),N(Y279)&lt;60),69.9,IF(OR(AND(ISNUMBER(AE279),N(AE279)&lt;80),AND(ISNUMBER(AC279),N(AC279)&lt;50,N(O279)&gt;=2)),84.9,100))</f>
        <v>100</v>
      </c>
      <c r="AK279" s="47" t="str">
        <f aca="false">IF(AI279="","",MIN(AI279,AJ279))</f>
        <v/>
      </c>
      <c r="AL279" s="47" t="str">
        <f aca="false">IF($C279="","",IF(AK279="","Gris — menos de 3 fuentes",IF(AND(AK279&lt;Parámetros!$B$14,N279&lt;&gt;"",N(N279)&lt;Parámetros!$B$15,N(Y279)&gt;=60),"Gris — repetir observación",IF(AK279&gt;=Parámetros!$B$13,"Verde",IF(AK279&gt;=Parámetros!$B$14,"Amarillo","Rojo")))))</f>
        <v/>
      </c>
      <c r="AM279" s="47" t="str">
        <f aca="false">IF($C279="","",IF(AND(ISNUMBER(Y279),N(Y279)&lt;60),"Ejecución &lt; 60 %: rojo automático",IF(AND(ISNUMBER(AE279),N(AE279)&lt;80),"PIAR &lt; 80 %: máximo amarillo",IF(AND(ISNUMBER(AC279),N(AC279)&lt;50,N(O279)&gt;=2),"Observación &lt; 50: máximo amarillo",IF(AND(N279&lt;&gt;"",N(N279)&lt;Parámetros!$B$15),"κ &lt; 0,60: observación descartada, repetir","")))))</f>
        <v/>
      </c>
    </row>
    <row r="280" customFormat="false" ht="15" hidden="false" customHeight="fals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7" t="str">
        <f aca="false">IF(N(E280)&gt;0,MIN(100,F280/E280*100),"")</f>
        <v/>
      </c>
      <c r="Y280" s="47" t="str">
        <f aca="false">IF(N(G280)&gt;0,MIN(100,H280/G280*100),"")</f>
        <v/>
      </c>
      <c r="Z280" s="47" t="str">
        <f aca="false">IF(N(I280)&gt;0,MIN(100,J280/I280*100),"")</f>
        <v/>
      </c>
      <c r="AA280" s="47" t="str">
        <f aca="false">IF(K280="","",K280/24*100)</f>
        <v/>
      </c>
      <c r="AB280" s="47" t="str">
        <f aca="false">IF(L280="","",L280/3*100)</f>
        <v/>
      </c>
      <c r="AC280" s="47" t="str">
        <f aca="false">IF(OR(M280="",AND(N280&lt;&gt;"",N(N280)&lt;Parámetros!$B$15)),"",MAX(0,MIN(100,(M280-1)/4*100)))</f>
        <v/>
      </c>
      <c r="AD280" s="47" t="str">
        <f aca="false">IF(OR(P280="",N(Q280)=0),"",MAX(0,MIN(100,((Q280/(Q280+Parámetros!$B$16))*P280+(Parámetros!$B$16/(Q280+Parámetros!$B$16))*Parámetros!$B$17-0.1)/0.4*100)))</f>
        <v/>
      </c>
      <c r="AE280" s="47" t="str">
        <f aca="false">IF(N(R280)&gt;0,MIN(100,S280/R280*100),"")</f>
        <v/>
      </c>
      <c r="AF280" s="47" t="str">
        <f aca="false">IF(N(U280)&gt;0,MIN(100,T280/(U280*5)*100),"")</f>
        <v/>
      </c>
      <c r="AG280" s="47" t="str">
        <f aca="false">IF(OR(V280="",N(W280)&lt;10),"",(V280-1)/4*100)</f>
        <v/>
      </c>
      <c r="AH280" s="47" t="str">
        <f aca="false">IF($C280="","",COUNT(X280:AG280))</f>
        <v/>
      </c>
      <c r="AI280" s="47" t="str">
        <f aca="false">IF(OR($C280="",N(AH280)&lt;Parámetros!$B$18),"",(IF(ISNUMBER(X280),X280*Parámetros!$B$2,0)+IF(ISNUMBER(Y280),Y280*Parámetros!$B$3,0)+IF(ISNUMBER(Z280),Z280*Parámetros!$B$4,0)+IF(ISNUMBER(AA280),AA280*Parámetros!$B$5,0)+IF(ISNUMBER(AB280),AB280*Parámetros!$B$6,0)+IF(ISNUMBER(AC280),AC280*Parámetros!$B$7,0)+IF(ISNUMBER(AD280),AD280*Parámetros!$B$8,0)+IF(ISNUMBER(AE280),AE280*Parámetros!$B$9,0)+IF(ISNUMBER(AF280),AF280*Parámetros!$B$10,0)+IF(ISNUMBER(AG280),AG280*Parámetros!$B$11,0))/(IF(ISNUMBER(X280),Parámetros!$B$2,0)+IF(ISNUMBER(Y280),Parámetros!$B$3,0)+IF(ISNUMBER(Z280),Parámetros!$B$4,0)+IF(ISNUMBER(AA280),Parámetros!$B$5,0)+IF(ISNUMBER(AB280),Parámetros!$B$6,0)+IF(ISNUMBER(AC280),Parámetros!$B$7,0)+IF(ISNUMBER(AD280),Parámetros!$B$8,0)+IF(ISNUMBER(AE280),Parámetros!$B$9,0)+IF(ISNUMBER(AF280),Parámetros!$B$10,0)+IF(ISNUMBER(AG280),Parámetros!$B$11,0)))</f>
        <v/>
      </c>
      <c r="AJ280" s="47" t="n">
        <f aca="false">IF(AND(ISNUMBER(Y280),N(Y280)&lt;60),69.9,IF(OR(AND(ISNUMBER(AE280),N(AE280)&lt;80),AND(ISNUMBER(AC280),N(AC280)&lt;50,N(O280)&gt;=2)),84.9,100))</f>
        <v>100</v>
      </c>
      <c r="AK280" s="47" t="str">
        <f aca="false">IF(AI280="","",MIN(AI280,AJ280))</f>
        <v/>
      </c>
      <c r="AL280" s="47" t="str">
        <f aca="false">IF($C280="","",IF(AK280="","Gris — menos de 3 fuentes",IF(AND(AK280&lt;Parámetros!$B$14,N280&lt;&gt;"",N(N280)&lt;Parámetros!$B$15,N(Y280)&gt;=60),"Gris — repetir observación",IF(AK280&gt;=Parámetros!$B$13,"Verde",IF(AK280&gt;=Parámetros!$B$14,"Amarillo","Rojo")))))</f>
        <v/>
      </c>
      <c r="AM280" s="47" t="str">
        <f aca="false">IF($C280="","",IF(AND(ISNUMBER(Y280),N(Y280)&lt;60),"Ejecución &lt; 60 %: rojo automático",IF(AND(ISNUMBER(AE280),N(AE280)&lt;80),"PIAR &lt; 80 %: máximo amarillo",IF(AND(ISNUMBER(AC280),N(AC280)&lt;50,N(O280)&gt;=2),"Observación &lt; 50: máximo amarillo",IF(AND(N280&lt;&gt;"",N(N280)&lt;Parámetros!$B$15),"κ &lt; 0,60: observación descartada, repetir","")))))</f>
        <v/>
      </c>
    </row>
    <row r="281" customFormat="false" ht="15" hidden="false" customHeight="fals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7" t="str">
        <f aca="false">IF(N(E281)&gt;0,MIN(100,F281/E281*100),"")</f>
        <v/>
      </c>
      <c r="Y281" s="47" t="str">
        <f aca="false">IF(N(G281)&gt;0,MIN(100,H281/G281*100),"")</f>
        <v/>
      </c>
      <c r="Z281" s="47" t="str">
        <f aca="false">IF(N(I281)&gt;0,MIN(100,J281/I281*100),"")</f>
        <v/>
      </c>
      <c r="AA281" s="47" t="str">
        <f aca="false">IF(K281="","",K281/24*100)</f>
        <v/>
      </c>
      <c r="AB281" s="47" t="str">
        <f aca="false">IF(L281="","",L281/3*100)</f>
        <v/>
      </c>
      <c r="AC281" s="47" t="str">
        <f aca="false">IF(OR(M281="",AND(N281&lt;&gt;"",N(N281)&lt;Parámetros!$B$15)),"",MAX(0,MIN(100,(M281-1)/4*100)))</f>
        <v/>
      </c>
      <c r="AD281" s="47" t="str">
        <f aca="false">IF(OR(P281="",N(Q281)=0),"",MAX(0,MIN(100,((Q281/(Q281+Parámetros!$B$16))*P281+(Parámetros!$B$16/(Q281+Parámetros!$B$16))*Parámetros!$B$17-0.1)/0.4*100)))</f>
        <v/>
      </c>
      <c r="AE281" s="47" t="str">
        <f aca="false">IF(N(R281)&gt;0,MIN(100,S281/R281*100),"")</f>
        <v/>
      </c>
      <c r="AF281" s="47" t="str">
        <f aca="false">IF(N(U281)&gt;0,MIN(100,T281/(U281*5)*100),"")</f>
        <v/>
      </c>
      <c r="AG281" s="47" t="str">
        <f aca="false">IF(OR(V281="",N(W281)&lt;10),"",(V281-1)/4*100)</f>
        <v/>
      </c>
      <c r="AH281" s="47" t="str">
        <f aca="false">IF($C281="","",COUNT(X281:AG281))</f>
        <v/>
      </c>
      <c r="AI281" s="47" t="str">
        <f aca="false">IF(OR($C281="",N(AH281)&lt;Parámetros!$B$18),"",(IF(ISNUMBER(X281),X281*Parámetros!$B$2,0)+IF(ISNUMBER(Y281),Y281*Parámetros!$B$3,0)+IF(ISNUMBER(Z281),Z281*Parámetros!$B$4,0)+IF(ISNUMBER(AA281),AA281*Parámetros!$B$5,0)+IF(ISNUMBER(AB281),AB281*Parámetros!$B$6,0)+IF(ISNUMBER(AC281),AC281*Parámetros!$B$7,0)+IF(ISNUMBER(AD281),AD281*Parámetros!$B$8,0)+IF(ISNUMBER(AE281),AE281*Parámetros!$B$9,0)+IF(ISNUMBER(AF281),AF281*Parámetros!$B$10,0)+IF(ISNUMBER(AG281),AG281*Parámetros!$B$11,0))/(IF(ISNUMBER(X281),Parámetros!$B$2,0)+IF(ISNUMBER(Y281),Parámetros!$B$3,0)+IF(ISNUMBER(Z281),Parámetros!$B$4,0)+IF(ISNUMBER(AA281),Parámetros!$B$5,0)+IF(ISNUMBER(AB281),Parámetros!$B$6,0)+IF(ISNUMBER(AC281),Parámetros!$B$7,0)+IF(ISNUMBER(AD281),Parámetros!$B$8,0)+IF(ISNUMBER(AE281),Parámetros!$B$9,0)+IF(ISNUMBER(AF281),Parámetros!$B$10,0)+IF(ISNUMBER(AG281),Parámetros!$B$11,0)))</f>
        <v/>
      </c>
      <c r="AJ281" s="47" t="n">
        <f aca="false">IF(AND(ISNUMBER(Y281),N(Y281)&lt;60),69.9,IF(OR(AND(ISNUMBER(AE281),N(AE281)&lt;80),AND(ISNUMBER(AC281),N(AC281)&lt;50,N(O281)&gt;=2)),84.9,100))</f>
        <v>100</v>
      </c>
      <c r="AK281" s="47" t="str">
        <f aca="false">IF(AI281="","",MIN(AI281,AJ281))</f>
        <v/>
      </c>
      <c r="AL281" s="47" t="str">
        <f aca="false">IF($C281="","",IF(AK281="","Gris — menos de 3 fuentes",IF(AND(AK281&lt;Parámetros!$B$14,N281&lt;&gt;"",N(N281)&lt;Parámetros!$B$15,N(Y281)&gt;=60),"Gris — repetir observación",IF(AK281&gt;=Parámetros!$B$13,"Verde",IF(AK281&gt;=Parámetros!$B$14,"Amarillo","Rojo")))))</f>
        <v/>
      </c>
      <c r="AM281" s="47" t="str">
        <f aca="false">IF($C281="","",IF(AND(ISNUMBER(Y281),N(Y281)&lt;60),"Ejecución &lt; 60 %: rojo automático",IF(AND(ISNUMBER(AE281),N(AE281)&lt;80),"PIAR &lt; 80 %: máximo amarillo",IF(AND(ISNUMBER(AC281),N(AC281)&lt;50,N(O281)&gt;=2),"Observación &lt; 50: máximo amarillo",IF(AND(N281&lt;&gt;"",N(N281)&lt;Parámetros!$B$15),"κ &lt; 0,60: observación descartada, repetir","")))))</f>
        <v/>
      </c>
    </row>
    <row r="282" customFormat="false" ht="15" hidden="false" customHeight="fals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7" t="str">
        <f aca="false">IF(N(E282)&gt;0,MIN(100,F282/E282*100),"")</f>
        <v/>
      </c>
      <c r="Y282" s="47" t="str">
        <f aca="false">IF(N(G282)&gt;0,MIN(100,H282/G282*100),"")</f>
        <v/>
      </c>
      <c r="Z282" s="47" t="str">
        <f aca="false">IF(N(I282)&gt;0,MIN(100,J282/I282*100),"")</f>
        <v/>
      </c>
      <c r="AA282" s="47" t="str">
        <f aca="false">IF(K282="","",K282/24*100)</f>
        <v/>
      </c>
      <c r="AB282" s="47" t="str">
        <f aca="false">IF(L282="","",L282/3*100)</f>
        <v/>
      </c>
      <c r="AC282" s="47" t="str">
        <f aca="false">IF(OR(M282="",AND(N282&lt;&gt;"",N(N282)&lt;Parámetros!$B$15)),"",MAX(0,MIN(100,(M282-1)/4*100)))</f>
        <v/>
      </c>
      <c r="AD282" s="47" t="str">
        <f aca="false">IF(OR(P282="",N(Q282)=0),"",MAX(0,MIN(100,((Q282/(Q282+Parámetros!$B$16))*P282+(Parámetros!$B$16/(Q282+Parámetros!$B$16))*Parámetros!$B$17-0.1)/0.4*100)))</f>
        <v/>
      </c>
      <c r="AE282" s="47" t="str">
        <f aca="false">IF(N(R282)&gt;0,MIN(100,S282/R282*100),"")</f>
        <v/>
      </c>
      <c r="AF282" s="47" t="str">
        <f aca="false">IF(N(U282)&gt;0,MIN(100,T282/(U282*5)*100),"")</f>
        <v/>
      </c>
      <c r="AG282" s="47" t="str">
        <f aca="false">IF(OR(V282="",N(W282)&lt;10),"",(V282-1)/4*100)</f>
        <v/>
      </c>
      <c r="AH282" s="47" t="str">
        <f aca="false">IF($C282="","",COUNT(X282:AG282))</f>
        <v/>
      </c>
      <c r="AI282" s="47" t="str">
        <f aca="false">IF(OR($C282="",N(AH282)&lt;Parámetros!$B$18),"",(IF(ISNUMBER(X282),X282*Parámetros!$B$2,0)+IF(ISNUMBER(Y282),Y282*Parámetros!$B$3,0)+IF(ISNUMBER(Z282),Z282*Parámetros!$B$4,0)+IF(ISNUMBER(AA282),AA282*Parámetros!$B$5,0)+IF(ISNUMBER(AB282),AB282*Parámetros!$B$6,0)+IF(ISNUMBER(AC282),AC282*Parámetros!$B$7,0)+IF(ISNUMBER(AD282),AD282*Parámetros!$B$8,0)+IF(ISNUMBER(AE282),AE282*Parámetros!$B$9,0)+IF(ISNUMBER(AF282),AF282*Parámetros!$B$10,0)+IF(ISNUMBER(AG282),AG282*Parámetros!$B$11,0))/(IF(ISNUMBER(X282),Parámetros!$B$2,0)+IF(ISNUMBER(Y282),Parámetros!$B$3,0)+IF(ISNUMBER(Z282),Parámetros!$B$4,0)+IF(ISNUMBER(AA282),Parámetros!$B$5,0)+IF(ISNUMBER(AB282),Parámetros!$B$6,0)+IF(ISNUMBER(AC282),Parámetros!$B$7,0)+IF(ISNUMBER(AD282),Parámetros!$B$8,0)+IF(ISNUMBER(AE282),Parámetros!$B$9,0)+IF(ISNUMBER(AF282),Parámetros!$B$10,0)+IF(ISNUMBER(AG282),Parámetros!$B$11,0)))</f>
        <v/>
      </c>
      <c r="AJ282" s="47" t="n">
        <f aca="false">IF(AND(ISNUMBER(Y282),N(Y282)&lt;60),69.9,IF(OR(AND(ISNUMBER(AE282),N(AE282)&lt;80),AND(ISNUMBER(AC282),N(AC282)&lt;50,N(O282)&gt;=2)),84.9,100))</f>
        <v>100</v>
      </c>
      <c r="AK282" s="47" t="str">
        <f aca="false">IF(AI282="","",MIN(AI282,AJ282))</f>
        <v/>
      </c>
      <c r="AL282" s="47" t="str">
        <f aca="false">IF($C282="","",IF(AK282="","Gris — menos de 3 fuentes",IF(AND(AK282&lt;Parámetros!$B$14,N282&lt;&gt;"",N(N282)&lt;Parámetros!$B$15,N(Y282)&gt;=60),"Gris — repetir observación",IF(AK282&gt;=Parámetros!$B$13,"Verde",IF(AK282&gt;=Parámetros!$B$14,"Amarillo","Rojo")))))</f>
        <v/>
      </c>
      <c r="AM282" s="47" t="str">
        <f aca="false">IF($C282="","",IF(AND(ISNUMBER(Y282),N(Y282)&lt;60),"Ejecución &lt; 60 %: rojo automático",IF(AND(ISNUMBER(AE282),N(AE282)&lt;80),"PIAR &lt; 80 %: máximo amarillo",IF(AND(ISNUMBER(AC282),N(AC282)&lt;50,N(O282)&gt;=2),"Observación &lt; 50: máximo amarillo",IF(AND(N282&lt;&gt;"",N(N282)&lt;Parámetros!$B$15),"κ &lt; 0,60: observación descartada, repetir","")))))</f>
        <v/>
      </c>
    </row>
    <row r="283" customFormat="false" ht="15" hidden="false" customHeight="fals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7" t="str">
        <f aca="false">IF(N(E283)&gt;0,MIN(100,F283/E283*100),"")</f>
        <v/>
      </c>
      <c r="Y283" s="47" t="str">
        <f aca="false">IF(N(G283)&gt;0,MIN(100,H283/G283*100),"")</f>
        <v/>
      </c>
      <c r="Z283" s="47" t="str">
        <f aca="false">IF(N(I283)&gt;0,MIN(100,J283/I283*100),"")</f>
        <v/>
      </c>
      <c r="AA283" s="47" t="str">
        <f aca="false">IF(K283="","",K283/24*100)</f>
        <v/>
      </c>
      <c r="AB283" s="47" t="str">
        <f aca="false">IF(L283="","",L283/3*100)</f>
        <v/>
      </c>
      <c r="AC283" s="47" t="str">
        <f aca="false">IF(OR(M283="",AND(N283&lt;&gt;"",N(N283)&lt;Parámetros!$B$15)),"",MAX(0,MIN(100,(M283-1)/4*100)))</f>
        <v/>
      </c>
      <c r="AD283" s="47" t="str">
        <f aca="false">IF(OR(P283="",N(Q283)=0),"",MAX(0,MIN(100,((Q283/(Q283+Parámetros!$B$16))*P283+(Parámetros!$B$16/(Q283+Parámetros!$B$16))*Parámetros!$B$17-0.1)/0.4*100)))</f>
        <v/>
      </c>
      <c r="AE283" s="47" t="str">
        <f aca="false">IF(N(R283)&gt;0,MIN(100,S283/R283*100),"")</f>
        <v/>
      </c>
      <c r="AF283" s="47" t="str">
        <f aca="false">IF(N(U283)&gt;0,MIN(100,T283/(U283*5)*100),"")</f>
        <v/>
      </c>
      <c r="AG283" s="47" t="str">
        <f aca="false">IF(OR(V283="",N(W283)&lt;10),"",(V283-1)/4*100)</f>
        <v/>
      </c>
      <c r="AH283" s="47" t="str">
        <f aca="false">IF($C283="","",COUNT(X283:AG283))</f>
        <v/>
      </c>
      <c r="AI283" s="47" t="str">
        <f aca="false">IF(OR($C283="",N(AH283)&lt;Parámetros!$B$18),"",(IF(ISNUMBER(X283),X283*Parámetros!$B$2,0)+IF(ISNUMBER(Y283),Y283*Parámetros!$B$3,0)+IF(ISNUMBER(Z283),Z283*Parámetros!$B$4,0)+IF(ISNUMBER(AA283),AA283*Parámetros!$B$5,0)+IF(ISNUMBER(AB283),AB283*Parámetros!$B$6,0)+IF(ISNUMBER(AC283),AC283*Parámetros!$B$7,0)+IF(ISNUMBER(AD283),AD283*Parámetros!$B$8,0)+IF(ISNUMBER(AE283),AE283*Parámetros!$B$9,0)+IF(ISNUMBER(AF283),AF283*Parámetros!$B$10,0)+IF(ISNUMBER(AG283),AG283*Parámetros!$B$11,0))/(IF(ISNUMBER(X283),Parámetros!$B$2,0)+IF(ISNUMBER(Y283),Parámetros!$B$3,0)+IF(ISNUMBER(Z283),Parámetros!$B$4,0)+IF(ISNUMBER(AA283),Parámetros!$B$5,0)+IF(ISNUMBER(AB283),Parámetros!$B$6,0)+IF(ISNUMBER(AC283),Parámetros!$B$7,0)+IF(ISNUMBER(AD283),Parámetros!$B$8,0)+IF(ISNUMBER(AE283),Parámetros!$B$9,0)+IF(ISNUMBER(AF283),Parámetros!$B$10,0)+IF(ISNUMBER(AG283),Parámetros!$B$11,0)))</f>
        <v/>
      </c>
      <c r="AJ283" s="47" t="n">
        <f aca="false">IF(AND(ISNUMBER(Y283),N(Y283)&lt;60),69.9,IF(OR(AND(ISNUMBER(AE283),N(AE283)&lt;80),AND(ISNUMBER(AC283),N(AC283)&lt;50,N(O283)&gt;=2)),84.9,100))</f>
        <v>100</v>
      </c>
      <c r="AK283" s="47" t="str">
        <f aca="false">IF(AI283="","",MIN(AI283,AJ283))</f>
        <v/>
      </c>
      <c r="AL283" s="47" t="str">
        <f aca="false">IF($C283="","",IF(AK283="","Gris — menos de 3 fuentes",IF(AND(AK283&lt;Parámetros!$B$14,N283&lt;&gt;"",N(N283)&lt;Parámetros!$B$15,N(Y283)&gt;=60),"Gris — repetir observación",IF(AK283&gt;=Parámetros!$B$13,"Verde",IF(AK283&gt;=Parámetros!$B$14,"Amarillo","Rojo")))))</f>
        <v/>
      </c>
      <c r="AM283" s="47" t="str">
        <f aca="false">IF($C283="","",IF(AND(ISNUMBER(Y283),N(Y283)&lt;60),"Ejecución &lt; 60 %: rojo automático",IF(AND(ISNUMBER(AE283),N(AE283)&lt;80),"PIAR &lt; 80 %: máximo amarillo",IF(AND(ISNUMBER(AC283),N(AC283)&lt;50,N(O283)&gt;=2),"Observación &lt; 50: máximo amarillo",IF(AND(N283&lt;&gt;"",N(N283)&lt;Parámetros!$B$15),"κ &lt; 0,60: observación descartada, repetir","")))))</f>
        <v/>
      </c>
    </row>
    <row r="284" customFormat="false" ht="15" hidden="false" customHeight="fals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7" t="str">
        <f aca="false">IF(N(E284)&gt;0,MIN(100,F284/E284*100),"")</f>
        <v/>
      </c>
      <c r="Y284" s="47" t="str">
        <f aca="false">IF(N(G284)&gt;0,MIN(100,H284/G284*100),"")</f>
        <v/>
      </c>
      <c r="Z284" s="47" t="str">
        <f aca="false">IF(N(I284)&gt;0,MIN(100,J284/I284*100),"")</f>
        <v/>
      </c>
      <c r="AA284" s="47" t="str">
        <f aca="false">IF(K284="","",K284/24*100)</f>
        <v/>
      </c>
      <c r="AB284" s="47" t="str">
        <f aca="false">IF(L284="","",L284/3*100)</f>
        <v/>
      </c>
      <c r="AC284" s="47" t="str">
        <f aca="false">IF(OR(M284="",AND(N284&lt;&gt;"",N(N284)&lt;Parámetros!$B$15)),"",MAX(0,MIN(100,(M284-1)/4*100)))</f>
        <v/>
      </c>
      <c r="AD284" s="47" t="str">
        <f aca="false">IF(OR(P284="",N(Q284)=0),"",MAX(0,MIN(100,((Q284/(Q284+Parámetros!$B$16))*P284+(Parámetros!$B$16/(Q284+Parámetros!$B$16))*Parámetros!$B$17-0.1)/0.4*100)))</f>
        <v/>
      </c>
      <c r="AE284" s="47" t="str">
        <f aca="false">IF(N(R284)&gt;0,MIN(100,S284/R284*100),"")</f>
        <v/>
      </c>
      <c r="AF284" s="47" t="str">
        <f aca="false">IF(N(U284)&gt;0,MIN(100,T284/(U284*5)*100),"")</f>
        <v/>
      </c>
      <c r="AG284" s="47" t="str">
        <f aca="false">IF(OR(V284="",N(W284)&lt;10),"",(V284-1)/4*100)</f>
        <v/>
      </c>
      <c r="AH284" s="47" t="str">
        <f aca="false">IF($C284="","",COUNT(X284:AG284))</f>
        <v/>
      </c>
      <c r="AI284" s="47" t="str">
        <f aca="false">IF(OR($C284="",N(AH284)&lt;Parámetros!$B$18),"",(IF(ISNUMBER(X284),X284*Parámetros!$B$2,0)+IF(ISNUMBER(Y284),Y284*Parámetros!$B$3,0)+IF(ISNUMBER(Z284),Z284*Parámetros!$B$4,0)+IF(ISNUMBER(AA284),AA284*Parámetros!$B$5,0)+IF(ISNUMBER(AB284),AB284*Parámetros!$B$6,0)+IF(ISNUMBER(AC284),AC284*Parámetros!$B$7,0)+IF(ISNUMBER(AD284),AD284*Parámetros!$B$8,0)+IF(ISNUMBER(AE284),AE284*Parámetros!$B$9,0)+IF(ISNUMBER(AF284),AF284*Parámetros!$B$10,0)+IF(ISNUMBER(AG284),AG284*Parámetros!$B$11,0))/(IF(ISNUMBER(X284),Parámetros!$B$2,0)+IF(ISNUMBER(Y284),Parámetros!$B$3,0)+IF(ISNUMBER(Z284),Parámetros!$B$4,0)+IF(ISNUMBER(AA284),Parámetros!$B$5,0)+IF(ISNUMBER(AB284),Parámetros!$B$6,0)+IF(ISNUMBER(AC284),Parámetros!$B$7,0)+IF(ISNUMBER(AD284),Parámetros!$B$8,0)+IF(ISNUMBER(AE284),Parámetros!$B$9,0)+IF(ISNUMBER(AF284),Parámetros!$B$10,0)+IF(ISNUMBER(AG284),Parámetros!$B$11,0)))</f>
        <v/>
      </c>
      <c r="AJ284" s="47" t="n">
        <f aca="false">IF(AND(ISNUMBER(Y284),N(Y284)&lt;60),69.9,IF(OR(AND(ISNUMBER(AE284),N(AE284)&lt;80),AND(ISNUMBER(AC284),N(AC284)&lt;50,N(O284)&gt;=2)),84.9,100))</f>
        <v>100</v>
      </c>
      <c r="AK284" s="47" t="str">
        <f aca="false">IF(AI284="","",MIN(AI284,AJ284))</f>
        <v/>
      </c>
      <c r="AL284" s="47" t="str">
        <f aca="false">IF($C284="","",IF(AK284="","Gris — menos de 3 fuentes",IF(AND(AK284&lt;Parámetros!$B$14,N284&lt;&gt;"",N(N284)&lt;Parámetros!$B$15,N(Y284)&gt;=60),"Gris — repetir observación",IF(AK284&gt;=Parámetros!$B$13,"Verde",IF(AK284&gt;=Parámetros!$B$14,"Amarillo","Rojo")))))</f>
        <v/>
      </c>
      <c r="AM284" s="47" t="str">
        <f aca="false">IF($C284="","",IF(AND(ISNUMBER(Y284),N(Y284)&lt;60),"Ejecución &lt; 60 %: rojo automático",IF(AND(ISNUMBER(AE284),N(AE284)&lt;80),"PIAR &lt; 80 %: máximo amarillo",IF(AND(ISNUMBER(AC284),N(AC284)&lt;50,N(O284)&gt;=2),"Observación &lt; 50: máximo amarillo",IF(AND(N284&lt;&gt;"",N(N284)&lt;Parámetros!$B$15),"κ &lt; 0,60: observación descartada, repetir","")))))</f>
        <v/>
      </c>
    </row>
    <row r="285" customFormat="false" ht="15" hidden="false" customHeight="fals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7" t="str">
        <f aca="false">IF(N(E285)&gt;0,MIN(100,F285/E285*100),"")</f>
        <v/>
      </c>
      <c r="Y285" s="47" t="str">
        <f aca="false">IF(N(G285)&gt;0,MIN(100,H285/G285*100),"")</f>
        <v/>
      </c>
      <c r="Z285" s="47" t="str">
        <f aca="false">IF(N(I285)&gt;0,MIN(100,J285/I285*100),"")</f>
        <v/>
      </c>
      <c r="AA285" s="47" t="str">
        <f aca="false">IF(K285="","",K285/24*100)</f>
        <v/>
      </c>
      <c r="AB285" s="47" t="str">
        <f aca="false">IF(L285="","",L285/3*100)</f>
        <v/>
      </c>
      <c r="AC285" s="47" t="str">
        <f aca="false">IF(OR(M285="",AND(N285&lt;&gt;"",N(N285)&lt;Parámetros!$B$15)),"",MAX(0,MIN(100,(M285-1)/4*100)))</f>
        <v/>
      </c>
      <c r="AD285" s="47" t="str">
        <f aca="false">IF(OR(P285="",N(Q285)=0),"",MAX(0,MIN(100,((Q285/(Q285+Parámetros!$B$16))*P285+(Parámetros!$B$16/(Q285+Parámetros!$B$16))*Parámetros!$B$17-0.1)/0.4*100)))</f>
        <v/>
      </c>
      <c r="AE285" s="47" t="str">
        <f aca="false">IF(N(R285)&gt;0,MIN(100,S285/R285*100),"")</f>
        <v/>
      </c>
      <c r="AF285" s="47" t="str">
        <f aca="false">IF(N(U285)&gt;0,MIN(100,T285/(U285*5)*100),"")</f>
        <v/>
      </c>
      <c r="AG285" s="47" t="str">
        <f aca="false">IF(OR(V285="",N(W285)&lt;10),"",(V285-1)/4*100)</f>
        <v/>
      </c>
      <c r="AH285" s="47" t="str">
        <f aca="false">IF($C285="","",COUNT(X285:AG285))</f>
        <v/>
      </c>
      <c r="AI285" s="47" t="str">
        <f aca="false">IF(OR($C285="",N(AH285)&lt;Parámetros!$B$18),"",(IF(ISNUMBER(X285),X285*Parámetros!$B$2,0)+IF(ISNUMBER(Y285),Y285*Parámetros!$B$3,0)+IF(ISNUMBER(Z285),Z285*Parámetros!$B$4,0)+IF(ISNUMBER(AA285),AA285*Parámetros!$B$5,0)+IF(ISNUMBER(AB285),AB285*Parámetros!$B$6,0)+IF(ISNUMBER(AC285),AC285*Parámetros!$B$7,0)+IF(ISNUMBER(AD285),AD285*Parámetros!$B$8,0)+IF(ISNUMBER(AE285),AE285*Parámetros!$B$9,0)+IF(ISNUMBER(AF285),AF285*Parámetros!$B$10,0)+IF(ISNUMBER(AG285),AG285*Parámetros!$B$11,0))/(IF(ISNUMBER(X285),Parámetros!$B$2,0)+IF(ISNUMBER(Y285),Parámetros!$B$3,0)+IF(ISNUMBER(Z285),Parámetros!$B$4,0)+IF(ISNUMBER(AA285),Parámetros!$B$5,0)+IF(ISNUMBER(AB285),Parámetros!$B$6,0)+IF(ISNUMBER(AC285),Parámetros!$B$7,0)+IF(ISNUMBER(AD285),Parámetros!$B$8,0)+IF(ISNUMBER(AE285),Parámetros!$B$9,0)+IF(ISNUMBER(AF285),Parámetros!$B$10,0)+IF(ISNUMBER(AG285),Parámetros!$B$11,0)))</f>
        <v/>
      </c>
      <c r="AJ285" s="47" t="n">
        <f aca="false">IF(AND(ISNUMBER(Y285),N(Y285)&lt;60),69.9,IF(OR(AND(ISNUMBER(AE285),N(AE285)&lt;80),AND(ISNUMBER(AC285),N(AC285)&lt;50,N(O285)&gt;=2)),84.9,100))</f>
        <v>100</v>
      </c>
      <c r="AK285" s="47" t="str">
        <f aca="false">IF(AI285="","",MIN(AI285,AJ285))</f>
        <v/>
      </c>
      <c r="AL285" s="47" t="str">
        <f aca="false">IF($C285="","",IF(AK285="","Gris — menos de 3 fuentes",IF(AND(AK285&lt;Parámetros!$B$14,N285&lt;&gt;"",N(N285)&lt;Parámetros!$B$15,N(Y285)&gt;=60),"Gris — repetir observación",IF(AK285&gt;=Parámetros!$B$13,"Verde",IF(AK285&gt;=Parámetros!$B$14,"Amarillo","Rojo")))))</f>
        <v/>
      </c>
      <c r="AM285" s="47" t="str">
        <f aca="false">IF($C285="","",IF(AND(ISNUMBER(Y285),N(Y285)&lt;60),"Ejecución &lt; 60 %: rojo automático",IF(AND(ISNUMBER(AE285),N(AE285)&lt;80),"PIAR &lt; 80 %: máximo amarillo",IF(AND(ISNUMBER(AC285),N(AC285)&lt;50,N(O285)&gt;=2),"Observación &lt; 50: máximo amarillo",IF(AND(N285&lt;&gt;"",N(N285)&lt;Parámetros!$B$15),"κ &lt; 0,60: observación descartada, repetir","")))))</f>
        <v/>
      </c>
    </row>
    <row r="286" customFormat="false" ht="15" hidden="false" customHeight="fals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7" t="str">
        <f aca="false">IF(N(E286)&gt;0,MIN(100,F286/E286*100),"")</f>
        <v/>
      </c>
      <c r="Y286" s="47" t="str">
        <f aca="false">IF(N(G286)&gt;0,MIN(100,H286/G286*100),"")</f>
        <v/>
      </c>
      <c r="Z286" s="47" t="str">
        <f aca="false">IF(N(I286)&gt;0,MIN(100,J286/I286*100),"")</f>
        <v/>
      </c>
      <c r="AA286" s="47" t="str">
        <f aca="false">IF(K286="","",K286/24*100)</f>
        <v/>
      </c>
      <c r="AB286" s="47" t="str">
        <f aca="false">IF(L286="","",L286/3*100)</f>
        <v/>
      </c>
      <c r="AC286" s="47" t="str">
        <f aca="false">IF(OR(M286="",AND(N286&lt;&gt;"",N(N286)&lt;Parámetros!$B$15)),"",MAX(0,MIN(100,(M286-1)/4*100)))</f>
        <v/>
      </c>
      <c r="AD286" s="47" t="str">
        <f aca="false">IF(OR(P286="",N(Q286)=0),"",MAX(0,MIN(100,((Q286/(Q286+Parámetros!$B$16))*P286+(Parámetros!$B$16/(Q286+Parámetros!$B$16))*Parámetros!$B$17-0.1)/0.4*100)))</f>
        <v/>
      </c>
      <c r="AE286" s="47" t="str">
        <f aca="false">IF(N(R286)&gt;0,MIN(100,S286/R286*100),"")</f>
        <v/>
      </c>
      <c r="AF286" s="47" t="str">
        <f aca="false">IF(N(U286)&gt;0,MIN(100,T286/(U286*5)*100),"")</f>
        <v/>
      </c>
      <c r="AG286" s="47" t="str">
        <f aca="false">IF(OR(V286="",N(W286)&lt;10),"",(V286-1)/4*100)</f>
        <v/>
      </c>
      <c r="AH286" s="47" t="str">
        <f aca="false">IF($C286="","",COUNT(X286:AG286))</f>
        <v/>
      </c>
      <c r="AI286" s="47" t="str">
        <f aca="false">IF(OR($C286="",N(AH286)&lt;Parámetros!$B$18),"",(IF(ISNUMBER(X286),X286*Parámetros!$B$2,0)+IF(ISNUMBER(Y286),Y286*Parámetros!$B$3,0)+IF(ISNUMBER(Z286),Z286*Parámetros!$B$4,0)+IF(ISNUMBER(AA286),AA286*Parámetros!$B$5,0)+IF(ISNUMBER(AB286),AB286*Parámetros!$B$6,0)+IF(ISNUMBER(AC286),AC286*Parámetros!$B$7,0)+IF(ISNUMBER(AD286),AD286*Parámetros!$B$8,0)+IF(ISNUMBER(AE286),AE286*Parámetros!$B$9,0)+IF(ISNUMBER(AF286),AF286*Parámetros!$B$10,0)+IF(ISNUMBER(AG286),AG286*Parámetros!$B$11,0))/(IF(ISNUMBER(X286),Parámetros!$B$2,0)+IF(ISNUMBER(Y286),Parámetros!$B$3,0)+IF(ISNUMBER(Z286),Parámetros!$B$4,0)+IF(ISNUMBER(AA286),Parámetros!$B$5,0)+IF(ISNUMBER(AB286),Parámetros!$B$6,0)+IF(ISNUMBER(AC286),Parámetros!$B$7,0)+IF(ISNUMBER(AD286),Parámetros!$B$8,0)+IF(ISNUMBER(AE286),Parámetros!$B$9,0)+IF(ISNUMBER(AF286),Parámetros!$B$10,0)+IF(ISNUMBER(AG286),Parámetros!$B$11,0)))</f>
        <v/>
      </c>
      <c r="AJ286" s="47" t="n">
        <f aca="false">IF(AND(ISNUMBER(Y286),N(Y286)&lt;60),69.9,IF(OR(AND(ISNUMBER(AE286),N(AE286)&lt;80),AND(ISNUMBER(AC286),N(AC286)&lt;50,N(O286)&gt;=2)),84.9,100))</f>
        <v>100</v>
      </c>
      <c r="AK286" s="47" t="str">
        <f aca="false">IF(AI286="","",MIN(AI286,AJ286))</f>
        <v/>
      </c>
      <c r="AL286" s="47" t="str">
        <f aca="false">IF($C286="","",IF(AK286="","Gris — menos de 3 fuentes",IF(AND(AK286&lt;Parámetros!$B$14,N286&lt;&gt;"",N(N286)&lt;Parámetros!$B$15,N(Y286)&gt;=60),"Gris — repetir observación",IF(AK286&gt;=Parámetros!$B$13,"Verde",IF(AK286&gt;=Parámetros!$B$14,"Amarillo","Rojo")))))</f>
        <v/>
      </c>
      <c r="AM286" s="47" t="str">
        <f aca="false">IF($C286="","",IF(AND(ISNUMBER(Y286),N(Y286)&lt;60),"Ejecución &lt; 60 %: rojo automático",IF(AND(ISNUMBER(AE286),N(AE286)&lt;80),"PIAR &lt; 80 %: máximo amarillo",IF(AND(ISNUMBER(AC286),N(AC286)&lt;50,N(O286)&gt;=2),"Observación &lt; 50: máximo amarillo",IF(AND(N286&lt;&gt;"",N(N286)&lt;Parámetros!$B$15),"κ &lt; 0,60: observación descartada, repetir","")))))</f>
        <v/>
      </c>
    </row>
    <row r="287" customFormat="false" ht="15" hidden="false" customHeight="fals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7" t="str">
        <f aca="false">IF(N(E287)&gt;0,MIN(100,F287/E287*100),"")</f>
        <v/>
      </c>
      <c r="Y287" s="47" t="str">
        <f aca="false">IF(N(G287)&gt;0,MIN(100,H287/G287*100),"")</f>
        <v/>
      </c>
      <c r="Z287" s="47" t="str">
        <f aca="false">IF(N(I287)&gt;0,MIN(100,J287/I287*100),"")</f>
        <v/>
      </c>
      <c r="AA287" s="47" t="str">
        <f aca="false">IF(K287="","",K287/24*100)</f>
        <v/>
      </c>
      <c r="AB287" s="47" t="str">
        <f aca="false">IF(L287="","",L287/3*100)</f>
        <v/>
      </c>
      <c r="AC287" s="47" t="str">
        <f aca="false">IF(OR(M287="",AND(N287&lt;&gt;"",N(N287)&lt;Parámetros!$B$15)),"",MAX(0,MIN(100,(M287-1)/4*100)))</f>
        <v/>
      </c>
      <c r="AD287" s="47" t="str">
        <f aca="false">IF(OR(P287="",N(Q287)=0),"",MAX(0,MIN(100,((Q287/(Q287+Parámetros!$B$16))*P287+(Parámetros!$B$16/(Q287+Parámetros!$B$16))*Parámetros!$B$17-0.1)/0.4*100)))</f>
        <v/>
      </c>
      <c r="AE287" s="47" t="str">
        <f aca="false">IF(N(R287)&gt;0,MIN(100,S287/R287*100),"")</f>
        <v/>
      </c>
      <c r="AF287" s="47" t="str">
        <f aca="false">IF(N(U287)&gt;0,MIN(100,T287/(U287*5)*100),"")</f>
        <v/>
      </c>
      <c r="AG287" s="47" t="str">
        <f aca="false">IF(OR(V287="",N(W287)&lt;10),"",(V287-1)/4*100)</f>
        <v/>
      </c>
      <c r="AH287" s="47" t="str">
        <f aca="false">IF($C287="","",COUNT(X287:AG287))</f>
        <v/>
      </c>
      <c r="AI287" s="47" t="str">
        <f aca="false">IF(OR($C287="",N(AH287)&lt;Parámetros!$B$18),"",(IF(ISNUMBER(X287),X287*Parámetros!$B$2,0)+IF(ISNUMBER(Y287),Y287*Parámetros!$B$3,0)+IF(ISNUMBER(Z287),Z287*Parámetros!$B$4,0)+IF(ISNUMBER(AA287),AA287*Parámetros!$B$5,0)+IF(ISNUMBER(AB287),AB287*Parámetros!$B$6,0)+IF(ISNUMBER(AC287),AC287*Parámetros!$B$7,0)+IF(ISNUMBER(AD287),AD287*Parámetros!$B$8,0)+IF(ISNUMBER(AE287),AE287*Parámetros!$B$9,0)+IF(ISNUMBER(AF287),AF287*Parámetros!$B$10,0)+IF(ISNUMBER(AG287),AG287*Parámetros!$B$11,0))/(IF(ISNUMBER(X287),Parámetros!$B$2,0)+IF(ISNUMBER(Y287),Parámetros!$B$3,0)+IF(ISNUMBER(Z287),Parámetros!$B$4,0)+IF(ISNUMBER(AA287),Parámetros!$B$5,0)+IF(ISNUMBER(AB287),Parámetros!$B$6,0)+IF(ISNUMBER(AC287),Parámetros!$B$7,0)+IF(ISNUMBER(AD287),Parámetros!$B$8,0)+IF(ISNUMBER(AE287),Parámetros!$B$9,0)+IF(ISNUMBER(AF287),Parámetros!$B$10,0)+IF(ISNUMBER(AG287),Parámetros!$B$11,0)))</f>
        <v/>
      </c>
      <c r="AJ287" s="47" t="n">
        <f aca="false">IF(AND(ISNUMBER(Y287),N(Y287)&lt;60),69.9,IF(OR(AND(ISNUMBER(AE287),N(AE287)&lt;80),AND(ISNUMBER(AC287),N(AC287)&lt;50,N(O287)&gt;=2)),84.9,100))</f>
        <v>100</v>
      </c>
      <c r="AK287" s="47" t="str">
        <f aca="false">IF(AI287="","",MIN(AI287,AJ287))</f>
        <v/>
      </c>
      <c r="AL287" s="47" t="str">
        <f aca="false">IF($C287="","",IF(AK287="","Gris — menos de 3 fuentes",IF(AND(AK287&lt;Parámetros!$B$14,N287&lt;&gt;"",N(N287)&lt;Parámetros!$B$15,N(Y287)&gt;=60),"Gris — repetir observación",IF(AK287&gt;=Parámetros!$B$13,"Verde",IF(AK287&gt;=Parámetros!$B$14,"Amarillo","Rojo")))))</f>
        <v/>
      </c>
      <c r="AM287" s="47" t="str">
        <f aca="false">IF($C287="","",IF(AND(ISNUMBER(Y287),N(Y287)&lt;60),"Ejecución &lt; 60 %: rojo automático",IF(AND(ISNUMBER(AE287),N(AE287)&lt;80),"PIAR &lt; 80 %: máximo amarillo",IF(AND(ISNUMBER(AC287),N(AC287)&lt;50,N(O287)&gt;=2),"Observación &lt; 50: máximo amarillo",IF(AND(N287&lt;&gt;"",N(N287)&lt;Parámetros!$B$15),"κ &lt; 0,60: observación descartada, repetir","")))))</f>
        <v/>
      </c>
    </row>
    <row r="288" customFormat="false" ht="15" hidden="false" customHeight="fals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7" t="str">
        <f aca="false">IF(N(E288)&gt;0,MIN(100,F288/E288*100),"")</f>
        <v/>
      </c>
      <c r="Y288" s="47" t="str">
        <f aca="false">IF(N(G288)&gt;0,MIN(100,H288/G288*100),"")</f>
        <v/>
      </c>
      <c r="Z288" s="47" t="str">
        <f aca="false">IF(N(I288)&gt;0,MIN(100,J288/I288*100),"")</f>
        <v/>
      </c>
      <c r="AA288" s="47" t="str">
        <f aca="false">IF(K288="","",K288/24*100)</f>
        <v/>
      </c>
      <c r="AB288" s="47" t="str">
        <f aca="false">IF(L288="","",L288/3*100)</f>
        <v/>
      </c>
      <c r="AC288" s="47" t="str">
        <f aca="false">IF(OR(M288="",AND(N288&lt;&gt;"",N(N288)&lt;Parámetros!$B$15)),"",MAX(0,MIN(100,(M288-1)/4*100)))</f>
        <v/>
      </c>
      <c r="AD288" s="47" t="str">
        <f aca="false">IF(OR(P288="",N(Q288)=0),"",MAX(0,MIN(100,((Q288/(Q288+Parámetros!$B$16))*P288+(Parámetros!$B$16/(Q288+Parámetros!$B$16))*Parámetros!$B$17-0.1)/0.4*100)))</f>
        <v/>
      </c>
      <c r="AE288" s="47" t="str">
        <f aca="false">IF(N(R288)&gt;0,MIN(100,S288/R288*100),"")</f>
        <v/>
      </c>
      <c r="AF288" s="47" t="str">
        <f aca="false">IF(N(U288)&gt;0,MIN(100,T288/(U288*5)*100),"")</f>
        <v/>
      </c>
      <c r="AG288" s="47" t="str">
        <f aca="false">IF(OR(V288="",N(W288)&lt;10),"",(V288-1)/4*100)</f>
        <v/>
      </c>
      <c r="AH288" s="47" t="str">
        <f aca="false">IF($C288="","",COUNT(X288:AG288))</f>
        <v/>
      </c>
      <c r="AI288" s="47" t="str">
        <f aca="false">IF(OR($C288="",N(AH288)&lt;Parámetros!$B$18),"",(IF(ISNUMBER(X288),X288*Parámetros!$B$2,0)+IF(ISNUMBER(Y288),Y288*Parámetros!$B$3,0)+IF(ISNUMBER(Z288),Z288*Parámetros!$B$4,0)+IF(ISNUMBER(AA288),AA288*Parámetros!$B$5,0)+IF(ISNUMBER(AB288),AB288*Parámetros!$B$6,0)+IF(ISNUMBER(AC288),AC288*Parámetros!$B$7,0)+IF(ISNUMBER(AD288),AD288*Parámetros!$B$8,0)+IF(ISNUMBER(AE288),AE288*Parámetros!$B$9,0)+IF(ISNUMBER(AF288),AF288*Parámetros!$B$10,0)+IF(ISNUMBER(AG288),AG288*Parámetros!$B$11,0))/(IF(ISNUMBER(X288),Parámetros!$B$2,0)+IF(ISNUMBER(Y288),Parámetros!$B$3,0)+IF(ISNUMBER(Z288),Parámetros!$B$4,0)+IF(ISNUMBER(AA288),Parámetros!$B$5,0)+IF(ISNUMBER(AB288),Parámetros!$B$6,0)+IF(ISNUMBER(AC288),Parámetros!$B$7,0)+IF(ISNUMBER(AD288),Parámetros!$B$8,0)+IF(ISNUMBER(AE288),Parámetros!$B$9,0)+IF(ISNUMBER(AF288),Parámetros!$B$10,0)+IF(ISNUMBER(AG288),Parámetros!$B$11,0)))</f>
        <v/>
      </c>
      <c r="AJ288" s="47" t="n">
        <f aca="false">IF(AND(ISNUMBER(Y288),N(Y288)&lt;60),69.9,IF(OR(AND(ISNUMBER(AE288),N(AE288)&lt;80),AND(ISNUMBER(AC288),N(AC288)&lt;50,N(O288)&gt;=2)),84.9,100))</f>
        <v>100</v>
      </c>
      <c r="AK288" s="47" t="str">
        <f aca="false">IF(AI288="","",MIN(AI288,AJ288))</f>
        <v/>
      </c>
      <c r="AL288" s="47" t="str">
        <f aca="false">IF($C288="","",IF(AK288="","Gris — menos de 3 fuentes",IF(AND(AK288&lt;Parámetros!$B$14,N288&lt;&gt;"",N(N288)&lt;Parámetros!$B$15,N(Y288)&gt;=60),"Gris — repetir observación",IF(AK288&gt;=Parámetros!$B$13,"Verde",IF(AK288&gt;=Parámetros!$B$14,"Amarillo","Rojo")))))</f>
        <v/>
      </c>
      <c r="AM288" s="47" t="str">
        <f aca="false">IF($C288="","",IF(AND(ISNUMBER(Y288),N(Y288)&lt;60),"Ejecución &lt; 60 %: rojo automático",IF(AND(ISNUMBER(AE288),N(AE288)&lt;80),"PIAR &lt; 80 %: máximo amarillo",IF(AND(ISNUMBER(AC288),N(AC288)&lt;50,N(O288)&gt;=2),"Observación &lt; 50: máximo amarillo",IF(AND(N288&lt;&gt;"",N(N288)&lt;Parámetros!$B$15),"κ &lt; 0,60: observación descartada, repetir","")))))</f>
        <v/>
      </c>
    </row>
    <row r="289" customFormat="false" ht="15" hidden="false" customHeight="fals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7" t="str">
        <f aca="false">IF(N(E289)&gt;0,MIN(100,F289/E289*100),"")</f>
        <v/>
      </c>
      <c r="Y289" s="47" t="str">
        <f aca="false">IF(N(G289)&gt;0,MIN(100,H289/G289*100),"")</f>
        <v/>
      </c>
      <c r="Z289" s="47" t="str">
        <f aca="false">IF(N(I289)&gt;0,MIN(100,J289/I289*100),"")</f>
        <v/>
      </c>
      <c r="AA289" s="47" t="str">
        <f aca="false">IF(K289="","",K289/24*100)</f>
        <v/>
      </c>
      <c r="AB289" s="47" t="str">
        <f aca="false">IF(L289="","",L289/3*100)</f>
        <v/>
      </c>
      <c r="AC289" s="47" t="str">
        <f aca="false">IF(OR(M289="",AND(N289&lt;&gt;"",N(N289)&lt;Parámetros!$B$15)),"",MAX(0,MIN(100,(M289-1)/4*100)))</f>
        <v/>
      </c>
      <c r="AD289" s="47" t="str">
        <f aca="false">IF(OR(P289="",N(Q289)=0),"",MAX(0,MIN(100,((Q289/(Q289+Parámetros!$B$16))*P289+(Parámetros!$B$16/(Q289+Parámetros!$B$16))*Parámetros!$B$17-0.1)/0.4*100)))</f>
        <v/>
      </c>
      <c r="AE289" s="47" t="str">
        <f aca="false">IF(N(R289)&gt;0,MIN(100,S289/R289*100),"")</f>
        <v/>
      </c>
      <c r="AF289" s="47" t="str">
        <f aca="false">IF(N(U289)&gt;0,MIN(100,T289/(U289*5)*100),"")</f>
        <v/>
      </c>
      <c r="AG289" s="47" t="str">
        <f aca="false">IF(OR(V289="",N(W289)&lt;10),"",(V289-1)/4*100)</f>
        <v/>
      </c>
      <c r="AH289" s="47" t="str">
        <f aca="false">IF($C289="","",COUNT(X289:AG289))</f>
        <v/>
      </c>
      <c r="AI289" s="47" t="str">
        <f aca="false">IF(OR($C289="",N(AH289)&lt;Parámetros!$B$18),"",(IF(ISNUMBER(X289),X289*Parámetros!$B$2,0)+IF(ISNUMBER(Y289),Y289*Parámetros!$B$3,0)+IF(ISNUMBER(Z289),Z289*Parámetros!$B$4,0)+IF(ISNUMBER(AA289),AA289*Parámetros!$B$5,0)+IF(ISNUMBER(AB289),AB289*Parámetros!$B$6,0)+IF(ISNUMBER(AC289),AC289*Parámetros!$B$7,0)+IF(ISNUMBER(AD289),AD289*Parámetros!$B$8,0)+IF(ISNUMBER(AE289),AE289*Parámetros!$B$9,0)+IF(ISNUMBER(AF289),AF289*Parámetros!$B$10,0)+IF(ISNUMBER(AG289),AG289*Parámetros!$B$11,0))/(IF(ISNUMBER(X289),Parámetros!$B$2,0)+IF(ISNUMBER(Y289),Parámetros!$B$3,0)+IF(ISNUMBER(Z289),Parámetros!$B$4,0)+IF(ISNUMBER(AA289),Parámetros!$B$5,0)+IF(ISNUMBER(AB289),Parámetros!$B$6,0)+IF(ISNUMBER(AC289),Parámetros!$B$7,0)+IF(ISNUMBER(AD289),Parámetros!$B$8,0)+IF(ISNUMBER(AE289),Parámetros!$B$9,0)+IF(ISNUMBER(AF289),Parámetros!$B$10,0)+IF(ISNUMBER(AG289),Parámetros!$B$11,0)))</f>
        <v/>
      </c>
      <c r="AJ289" s="47" t="n">
        <f aca="false">IF(AND(ISNUMBER(Y289),N(Y289)&lt;60),69.9,IF(OR(AND(ISNUMBER(AE289),N(AE289)&lt;80),AND(ISNUMBER(AC289),N(AC289)&lt;50,N(O289)&gt;=2)),84.9,100))</f>
        <v>100</v>
      </c>
      <c r="AK289" s="47" t="str">
        <f aca="false">IF(AI289="","",MIN(AI289,AJ289))</f>
        <v/>
      </c>
      <c r="AL289" s="47" t="str">
        <f aca="false">IF($C289="","",IF(AK289="","Gris — menos de 3 fuentes",IF(AND(AK289&lt;Parámetros!$B$14,N289&lt;&gt;"",N(N289)&lt;Parámetros!$B$15,N(Y289)&gt;=60),"Gris — repetir observación",IF(AK289&gt;=Parámetros!$B$13,"Verde",IF(AK289&gt;=Parámetros!$B$14,"Amarillo","Rojo")))))</f>
        <v/>
      </c>
      <c r="AM289" s="47" t="str">
        <f aca="false">IF($C289="","",IF(AND(ISNUMBER(Y289),N(Y289)&lt;60),"Ejecución &lt; 60 %: rojo automático",IF(AND(ISNUMBER(AE289),N(AE289)&lt;80),"PIAR &lt; 80 %: máximo amarillo",IF(AND(ISNUMBER(AC289),N(AC289)&lt;50,N(O289)&gt;=2),"Observación &lt; 50: máximo amarillo",IF(AND(N289&lt;&gt;"",N(N289)&lt;Parámetros!$B$15),"κ &lt; 0,60: observación descartada, repetir","")))))</f>
        <v/>
      </c>
    </row>
    <row r="290" customFormat="false" ht="15" hidden="false" customHeight="fals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7" t="str">
        <f aca="false">IF(N(E290)&gt;0,MIN(100,F290/E290*100),"")</f>
        <v/>
      </c>
      <c r="Y290" s="47" t="str">
        <f aca="false">IF(N(G290)&gt;0,MIN(100,H290/G290*100),"")</f>
        <v/>
      </c>
      <c r="Z290" s="47" t="str">
        <f aca="false">IF(N(I290)&gt;0,MIN(100,J290/I290*100),"")</f>
        <v/>
      </c>
      <c r="AA290" s="47" t="str">
        <f aca="false">IF(K290="","",K290/24*100)</f>
        <v/>
      </c>
      <c r="AB290" s="47" t="str">
        <f aca="false">IF(L290="","",L290/3*100)</f>
        <v/>
      </c>
      <c r="AC290" s="47" t="str">
        <f aca="false">IF(OR(M290="",AND(N290&lt;&gt;"",N(N290)&lt;Parámetros!$B$15)),"",MAX(0,MIN(100,(M290-1)/4*100)))</f>
        <v/>
      </c>
      <c r="AD290" s="47" t="str">
        <f aca="false">IF(OR(P290="",N(Q290)=0),"",MAX(0,MIN(100,((Q290/(Q290+Parámetros!$B$16))*P290+(Parámetros!$B$16/(Q290+Parámetros!$B$16))*Parámetros!$B$17-0.1)/0.4*100)))</f>
        <v/>
      </c>
      <c r="AE290" s="47" t="str">
        <f aca="false">IF(N(R290)&gt;0,MIN(100,S290/R290*100),"")</f>
        <v/>
      </c>
      <c r="AF290" s="47" t="str">
        <f aca="false">IF(N(U290)&gt;0,MIN(100,T290/(U290*5)*100),"")</f>
        <v/>
      </c>
      <c r="AG290" s="47" t="str">
        <f aca="false">IF(OR(V290="",N(W290)&lt;10),"",(V290-1)/4*100)</f>
        <v/>
      </c>
      <c r="AH290" s="47" t="str">
        <f aca="false">IF($C290="","",COUNT(X290:AG290))</f>
        <v/>
      </c>
      <c r="AI290" s="47" t="str">
        <f aca="false">IF(OR($C290="",N(AH290)&lt;Parámetros!$B$18),"",(IF(ISNUMBER(X290),X290*Parámetros!$B$2,0)+IF(ISNUMBER(Y290),Y290*Parámetros!$B$3,0)+IF(ISNUMBER(Z290),Z290*Parámetros!$B$4,0)+IF(ISNUMBER(AA290),AA290*Parámetros!$B$5,0)+IF(ISNUMBER(AB290),AB290*Parámetros!$B$6,0)+IF(ISNUMBER(AC290),AC290*Parámetros!$B$7,0)+IF(ISNUMBER(AD290),AD290*Parámetros!$B$8,0)+IF(ISNUMBER(AE290),AE290*Parámetros!$B$9,0)+IF(ISNUMBER(AF290),AF290*Parámetros!$B$10,0)+IF(ISNUMBER(AG290),AG290*Parámetros!$B$11,0))/(IF(ISNUMBER(X290),Parámetros!$B$2,0)+IF(ISNUMBER(Y290),Parámetros!$B$3,0)+IF(ISNUMBER(Z290),Parámetros!$B$4,0)+IF(ISNUMBER(AA290),Parámetros!$B$5,0)+IF(ISNUMBER(AB290),Parámetros!$B$6,0)+IF(ISNUMBER(AC290),Parámetros!$B$7,0)+IF(ISNUMBER(AD290),Parámetros!$B$8,0)+IF(ISNUMBER(AE290),Parámetros!$B$9,0)+IF(ISNUMBER(AF290),Parámetros!$B$10,0)+IF(ISNUMBER(AG290),Parámetros!$B$11,0)))</f>
        <v/>
      </c>
      <c r="AJ290" s="47" t="n">
        <f aca="false">IF(AND(ISNUMBER(Y290),N(Y290)&lt;60),69.9,IF(OR(AND(ISNUMBER(AE290),N(AE290)&lt;80),AND(ISNUMBER(AC290),N(AC290)&lt;50,N(O290)&gt;=2)),84.9,100))</f>
        <v>100</v>
      </c>
      <c r="AK290" s="47" t="str">
        <f aca="false">IF(AI290="","",MIN(AI290,AJ290))</f>
        <v/>
      </c>
      <c r="AL290" s="47" t="str">
        <f aca="false">IF($C290="","",IF(AK290="","Gris — menos de 3 fuentes",IF(AND(AK290&lt;Parámetros!$B$14,N290&lt;&gt;"",N(N290)&lt;Parámetros!$B$15,N(Y290)&gt;=60),"Gris — repetir observación",IF(AK290&gt;=Parámetros!$B$13,"Verde",IF(AK290&gt;=Parámetros!$B$14,"Amarillo","Rojo")))))</f>
        <v/>
      </c>
      <c r="AM290" s="47" t="str">
        <f aca="false">IF($C290="","",IF(AND(ISNUMBER(Y290),N(Y290)&lt;60),"Ejecución &lt; 60 %: rojo automático",IF(AND(ISNUMBER(AE290),N(AE290)&lt;80),"PIAR &lt; 80 %: máximo amarillo",IF(AND(ISNUMBER(AC290),N(AC290)&lt;50,N(O290)&gt;=2),"Observación &lt; 50: máximo amarillo",IF(AND(N290&lt;&gt;"",N(N290)&lt;Parámetros!$B$15),"κ &lt; 0,60: observación descartada, repetir","")))))</f>
        <v/>
      </c>
    </row>
    <row r="291" customFormat="false" ht="15" hidden="false" customHeight="fals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7" t="str">
        <f aca="false">IF(N(E291)&gt;0,MIN(100,F291/E291*100),"")</f>
        <v/>
      </c>
      <c r="Y291" s="47" t="str">
        <f aca="false">IF(N(G291)&gt;0,MIN(100,H291/G291*100),"")</f>
        <v/>
      </c>
      <c r="Z291" s="47" t="str">
        <f aca="false">IF(N(I291)&gt;0,MIN(100,J291/I291*100),"")</f>
        <v/>
      </c>
      <c r="AA291" s="47" t="str">
        <f aca="false">IF(K291="","",K291/24*100)</f>
        <v/>
      </c>
      <c r="AB291" s="47" t="str">
        <f aca="false">IF(L291="","",L291/3*100)</f>
        <v/>
      </c>
      <c r="AC291" s="47" t="str">
        <f aca="false">IF(OR(M291="",AND(N291&lt;&gt;"",N(N291)&lt;Parámetros!$B$15)),"",MAX(0,MIN(100,(M291-1)/4*100)))</f>
        <v/>
      </c>
      <c r="AD291" s="47" t="str">
        <f aca="false">IF(OR(P291="",N(Q291)=0),"",MAX(0,MIN(100,((Q291/(Q291+Parámetros!$B$16))*P291+(Parámetros!$B$16/(Q291+Parámetros!$B$16))*Parámetros!$B$17-0.1)/0.4*100)))</f>
        <v/>
      </c>
      <c r="AE291" s="47" t="str">
        <f aca="false">IF(N(R291)&gt;0,MIN(100,S291/R291*100),"")</f>
        <v/>
      </c>
      <c r="AF291" s="47" t="str">
        <f aca="false">IF(N(U291)&gt;0,MIN(100,T291/(U291*5)*100),"")</f>
        <v/>
      </c>
      <c r="AG291" s="47" t="str">
        <f aca="false">IF(OR(V291="",N(W291)&lt;10),"",(V291-1)/4*100)</f>
        <v/>
      </c>
      <c r="AH291" s="47" t="str">
        <f aca="false">IF($C291="","",COUNT(X291:AG291))</f>
        <v/>
      </c>
      <c r="AI291" s="47" t="str">
        <f aca="false">IF(OR($C291="",N(AH291)&lt;Parámetros!$B$18),"",(IF(ISNUMBER(X291),X291*Parámetros!$B$2,0)+IF(ISNUMBER(Y291),Y291*Parámetros!$B$3,0)+IF(ISNUMBER(Z291),Z291*Parámetros!$B$4,0)+IF(ISNUMBER(AA291),AA291*Parámetros!$B$5,0)+IF(ISNUMBER(AB291),AB291*Parámetros!$B$6,0)+IF(ISNUMBER(AC291),AC291*Parámetros!$B$7,0)+IF(ISNUMBER(AD291),AD291*Parámetros!$B$8,0)+IF(ISNUMBER(AE291),AE291*Parámetros!$B$9,0)+IF(ISNUMBER(AF291),AF291*Parámetros!$B$10,0)+IF(ISNUMBER(AG291),AG291*Parámetros!$B$11,0))/(IF(ISNUMBER(X291),Parámetros!$B$2,0)+IF(ISNUMBER(Y291),Parámetros!$B$3,0)+IF(ISNUMBER(Z291),Parámetros!$B$4,0)+IF(ISNUMBER(AA291),Parámetros!$B$5,0)+IF(ISNUMBER(AB291),Parámetros!$B$6,0)+IF(ISNUMBER(AC291),Parámetros!$B$7,0)+IF(ISNUMBER(AD291),Parámetros!$B$8,0)+IF(ISNUMBER(AE291),Parámetros!$B$9,0)+IF(ISNUMBER(AF291),Parámetros!$B$10,0)+IF(ISNUMBER(AG291),Parámetros!$B$11,0)))</f>
        <v/>
      </c>
      <c r="AJ291" s="47" t="n">
        <f aca="false">IF(AND(ISNUMBER(Y291),N(Y291)&lt;60),69.9,IF(OR(AND(ISNUMBER(AE291),N(AE291)&lt;80),AND(ISNUMBER(AC291),N(AC291)&lt;50,N(O291)&gt;=2)),84.9,100))</f>
        <v>100</v>
      </c>
      <c r="AK291" s="47" t="str">
        <f aca="false">IF(AI291="","",MIN(AI291,AJ291))</f>
        <v/>
      </c>
      <c r="AL291" s="47" t="str">
        <f aca="false">IF($C291="","",IF(AK291="","Gris — menos de 3 fuentes",IF(AND(AK291&lt;Parámetros!$B$14,N291&lt;&gt;"",N(N291)&lt;Parámetros!$B$15,N(Y291)&gt;=60),"Gris — repetir observación",IF(AK291&gt;=Parámetros!$B$13,"Verde",IF(AK291&gt;=Parámetros!$B$14,"Amarillo","Rojo")))))</f>
        <v/>
      </c>
      <c r="AM291" s="47" t="str">
        <f aca="false">IF($C291="","",IF(AND(ISNUMBER(Y291),N(Y291)&lt;60),"Ejecución &lt; 60 %: rojo automático",IF(AND(ISNUMBER(AE291),N(AE291)&lt;80),"PIAR &lt; 80 %: máximo amarillo",IF(AND(ISNUMBER(AC291),N(AC291)&lt;50,N(O291)&gt;=2),"Observación &lt; 50: máximo amarillo",IF(AND(N291&lt;&gt;"",N(N291)&lt;Parámetros!$B$15),"κ &lt; 0,60: observación descartada, repetir","")))))</f>
        <v/>
      </c>
    </row>
    <row r="292" customFormat="false" ht="15" hidden="false" customHeight="fals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7" t="str">
        <f aca="false">IF(N(E292)&gt;0,MIN(100,F292/E292*100),"")</f>
        <v/>
      </c>
      <c r="Y292" s="47" t="str">
        <f aca="false">IF(N(G292)&gt;0,MIN(100,H292/G292*100),"")</f>
        <v/>
      </c>
      <c r="Z292" s="47" t="str">
        <f aca="false">IF(N(I292)&gt;0,MIN(100,J292/I292*100),"")</f>
        <v/>
      </c>
      <c r="AA292" s="47" t="str">
        <f aca="false">IF(K292="","",K292/24*100)</f>
        <v/>
      </c>
      <c r="AB292" s="47" t="str">
        <f aca="false">IF(L292="","",L292/3*100)</f>
        <v/>
      </c>
      <c r="AC292" s="47" t="str">
        <f aca="false">IF(OR(M292="",AND(N292&lt;&gt;"",N(N292)&lt;Parámetros!$B$15)),"",MAX(0,MIN(100,(M292-1)/4*100)))</f>
        <v/>
      </c>
      <c r="AD292" s="47" t="str">
        <f aca="false">IF(OR(P292="",N(Q292)=0),"",MAX(0,MIN(100,((Q292/(Q292+Parámetros!$B$16))*P292+(Parámetros!$B$16/(Q292+Parámetros!$B$16))*Parámetros!$B$17-0.1)/0.4*100)))</f>
        <v/>
      </c>
      <c r="AE292" s="47" t="str">
        <f aca="false">IF(N(R292)&gt;0,MIN(100,S292/R292*100),"")</f>
        <v/>
      </c>
      <c r="AF292" s="47" t="str">
        <f aca="false">IF(N(U292)&gt;0,MIN(100,T292/(U292*5)*100),"")</f>
        <v/>
      </c>
      <c r="AG292" s="47" t="str">
        <f aca="false">IF(OR(V292="",N(W292)&lt;10),"",(V292-1)/4*100)</f>
        <v/>
      </c>
      <c r="AH292" s="47" t="str">
        <f aca="false">IF($C292="","",COUNT(X292:AG292))</f>
        <v/>
      </c>
      <c r="AI292" s="47" t="str">
        <f aca="false">IF(OR($C292="",N(AH292)&lt;Parámetros!$B$18),"",(IF(ISNUMBER(X292),X292*Parámetros!$B$2,0)+IF(ISNUMBER(Y292),Y292*Parámetros!$B$3,0)+IF(ISNUMBER(Z292),Z292*Parámetros!$B$4,0)+IF(ISNUMBER(AA292),AA292*Parámetros!$B$5,0)+IF(ISNUMBER(AB292),AB292*Parámetros!$B$6,0)+IF(ISNUMBER(AC292),AC292*Parámetros!$B$7,0)+IF(ISNUMBER(AD292),AD292*Parámetros!$B$8,0)+IF(ISNUMBER(AE292),AE292*Parámetros!$B$9,0)+IF(ISNUMBER(AF292),AF292*Parámetros!$B$10,0)+IF(ISNUMBER(AG292),AG292*Parámetros!$B$11,0))/(IF(ISNUMBER(X292),Parámetros!$B$2,0)+IF(ISNUMBER(Y292),Parámetros!$B$3,0)+IF(ISNUMBER(Z292),Parámetros!$B$4,0)+IF(ISNUMBER(AA292),Parámetros!$B$5,0)+IF(ISNUMBER(AB292),Parámetros!$B$6,0)+IF(ISNUMBER(AC292),Parámetros!$B$7,0)+IF(ISNUMBER(AD292),Parámetros!$B$8,0)+IF(ISNUMBER(AE292),Parámetros!$B$9,0)+IF(ISNUMBER(AF292),Parámetros!$B$10,0)+IF(ISNUMBER(AG292),Parámetros!$B$11,0)))</f>
        <v/>
      </c>
      <c r="AJ292" s="47" t="n">
        <f aca="false">IF(AND(ISNUMBER(Y292),N(Y292)&lt;60),69.9,IF(OR(AND(ISNUMBER(AE292),N(AE292)&lt;80),AND(ISNUMBER(AC292),N(AC292)&lt;50,N(O292)&gt;=2)),84.9,100))</f>
        <v>100</v>
      </c>
      <c r="AK292" s="47" t="str">
        <f aca="false">IF(AI292="","",MIN(AI292,AJ292))</f>
        <v/>
      </c>
      <c r="AL292" s="47" t="str">
        <f aca="false">IF($C292="","",IF(AK292="","Gris — menos de 3 fuentes",IF(AND(AK292&lt;Parámetros!$B$14,N292&lt;&gt;"",N(N292)&lt;Parámetros!$B$15,N(Y292)&gt;=60),"Gris — repetir observación",IF(AK292&gt;=Parámetros!$B$13,"Verde",IF(AK292&gt;=Parámetros!$B$14,"Amarillo","Rojo")))))</f>
        <v/>
      </c>
      <c r="AM292" s="47" t="str">
        <f aca="false">IF($C292="","",IF(AND(ISNUMBER(Y292),N(Y292)&lt;60),"Ejecución &lt; 60 %: rojo automático",IF(AND(ISNUMBER(AE292),N(AE292)&lt;80),"PIAR &lt; 80 %: máximo amarillo",IF(AND(ISNUMBER(AC292),N(AC292)&lt;50,N(O292)&gt;=2),"Observación &lt; 50: máximo amarillo",IF(AND(N292&lt;&gt;"",N(N292)&lt;Parámetros!$B$15),"κ &lt; 0,60: observación descartada, repetir","")))))</f>
        <v/>
      </c>
    </row>
    <row r="293" customFormat="false" ht="15" hidden="false" customHeight="fals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7" t="str">
        <f aca="false">IF(N(E293)&gt;0,MIN(100,F293/E293*100),"")</f>
        <v/>
      </c>
      <c r="Y293" s="47" t="str">
        <f aca="false">IF(N(G293)&gt;0,MIN(100,H293/G293*100),"")</f>
        <v/>
      </c>
      <c r="Z293" s="47" t="str">
        <f aca="false">IF(N(I293)&gt;0,MIN(100,J293/I293*100),"")</f>
        <v/>
      </c>
      <c r="AA293" s="47" t="str">
        <f aca="false">IF(K293="","",K293/24*100)</f>
        <v/>
      </c>
      <c r="AB293" s="47" t="str">
        <f aca="false">IF(L293="","",L293/3*100)</f>
        <v/>
      </c>
      <c r="AC293" s="47" t="str">
        <f aca="false">IF(OR(M293="",AND(N293&lt;&gt;"",N(N293)&lt;Parámetros!$B$15)),"",MAX(0,MIN(100,(M293-1)/4*100)))</f>
        <v/>
      </c>
      <c r="AD293" s="47" t="str">
        <f aca="false">IF(OR(P293="",N(Q293)=0),"",MAX(0,MIN(100,((Q293/(Q293+Parámetros!$B$16))*P293+(Parámetros!$B$16/(Q293+Parámetros!$B$16))*Parámetros!$B$17-0.1)/0.4*100)))</f>
        <v/>
      </c>
      <c r="AE293" s="47" t="str">
        <f aca="false">IF(N(R293)&gt;0,MIN(100,S293/R293*100),"")</f>
        <v/>
      </c>
      <c r="AF293" s="47" t="str">
        <f aca="false">IF(N(U293)&gt;0,MIN(100,T293/(U293*5)*100),"")</f>
        <v/>
      </c>
      <c r="AG293" s="47" t="str">
        <f aca="false">IF(OR(V293="",N(W293)&lt;10),"",(V293-1)/4*100)</f>
        <v/>
      </c>
      <c r="AH293" s="47" t="str">
        <f aca="false">IF($C293="","",COUNT(X293:AG293))</f>
        <v/>
      </c>
      <c r="AI293" s="47" t="str">
        <f aca="false">IF(OR($C293="",N(AH293)&lt;Parámetros!$B$18),"",(IF(ISNUMBER(X293),X293*Parámetros!$B$2,0)+IF(ISNUMBER(Y293),Y293*Parámetros!$B$3,0)+IF(ISNUMBER(Z293),Z293*Parámetros!$B$4,0)+IF(ISNUMBER(AA293),AA293*Parámetros!$B$5,0)+IF(ISNUMBER(AB293),AB293*Parámetros!$B$6,0)+IF(ISNUMBER(AC293),AC293*Parámetros!$B$7,0)+IF(ISNUMBER(AD293),AD293*Parámetros!$B$8,0)+IF(ISNUMBER(AE293),AE293*Parámetros!$B$9,0)+IF(ISNUMBER(AF293),AF293*Parámetros!$B$10,0)+IF(ISNUMBER(AG293),AG293*Parámetros!$B$11,0))/(IF(ISNUMBER(X293),Parámetros!$B$2,0)+IF(ISNUMBER(Y293),Parámetros!$B$3,0)+IF(ISNUMBER(Z293),Parámetros!$B$4,0)+IF(ISNUMBER(AA293),Parámetros!$B$5,0)+IF(ISNUMBER(AB293),Parámetros!$B$6,0)+IF(ISNUMBER(AC293),Parámetros!$B$7,0)+IF(ISNUMBER(AD293),Parámetros!$B$8,0)+IF(ISNUMBER(AE293),Parámetros!$B$9,0)+IF(ISNUMBER(AF293),Parámetros!$B$10,0)+IF(ISNUMBER(AG293),Parámetros!$B$11,0)))</f>
        <v/>
      </c>
      <c r="AJ293" s="47" t="n">
        <f aca="false">IF(AND(ISNUMBER(Y293),N(Y293)&lt;60),69.9,IF(OR(AND(ISNUMBER(AE293),N(AE293)&lt;80),AND(ISNUMBER(AC293),N(AC293)&lt;50,N(O293)&gt;=2)),84.9,100))</f>
        <v>100</v>
      </c>
      <c r="AK293" s="47" t="str">
        <f aca="false">IF(AI293="","",MIN(AI293,AJ293))</f>
        <v/>
      </c>
      <c r="AL293" s="47" t="str">
        <f aca="false">IF($C293="","",IF(AK293="","Gris — menos de 3 fuentes",IF(AND(AK293&lt;Parámetros!$B$14,N293&lt;&gt;"",N(N293)&lt;Parámetros!$B$15,N(Y293)&gt;=60),"Gris — repetir observación",IF(AK293&gt;=Parámetros!$B$13,"Verde",IF(AK293&gt;=Parámetros!$B$14,"Amarillo","Rojo")))))</f>
        <v/>
      </c>
      <c r="AM293" s="47" t="str">
        <f aca="false">IF($C293="","",IF(AND(ISNUMBER(Y293),N(Y293)&lt;60),"Ejecución &lt; 60 %: rojo automático",IF(AND(ISNUMBER(AE293),N(AE293)&lt;80),"PIAR &lt; 80 %: máximo amarillo",IF(AND(ISNUMBER(AC293),N(AC293)&lt;50,N(O293)&gt;=2),"Observación &lt; 50: máximo amarillo",IF(AND(N293&lt;&gt;"",N(N293)&lt;Parámetros!$B$15),"κ &lt; 0,60: observación descartada, repetir","")))))</f>
        <v/>
      </c>
    </row>
    <row r="294" customFormat="false" ht="15" hidden="false" customHeight="fals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7" t="str">
        <f aca="false">IF(N(E294)&gt;0,MIN(100,F294/E294*100),"")</f>
        <v/>
      </c>
      <c r="Y294" s="47" t="str">
        <f aca="false">IF(N(G294)&gt;0,MIN(100,H294/G294*100),"")</f>
        <v/>
      </c>
      <c r="Z294" s="47" t="str">
        <f aca="false">IF(N(I294)&gt;0,MIN(100,J294/I294*100),"")</f>
        <v/>
      </c>
      <c r="AA294" s="47" t="str">
        <f aca="false">IF(K294="","",K294/24*100)</f>
        <v/>
      </c>
      <c r="AB294" s="47" t="str">
        <f aca="false">IF(L294="","",L294/3*100)</f>
        <v/>
      </c>
      <c r="AC294" s="47" t="str">
        <f aca="false">IF(OR(M294="",AND(N294&lt;&gt;"",N(N294)&lt;Parámetros!$B$15)),"",MAX(0,MIN(100,(M294-1)/4*100)))</f>
        <v/>
      </c>
      <c r="AD294" s="47" t="str">
        <f aca="false">IF(OR(P294="",N(Q294)=0),"",MAX(0,MIN(100,((Q294/(Q294+Parámetros!$B$16))*P294+(Parámetros!$B$16/(Q294+Parámetros!$B$16))*Parámetros!$B$17-0.1)/0.4*100)))</f>
        <v/>
      </c>
      <c r="AE294" s="47" t="str">
        <f aca="false">IF(N(R294)&gt;0,MIN(100,S294/R294*100),"")</f>
        <v/>
      </c>
      <c r="AF294" s="47" t="str">
        <f aca="false">IF(N(U294)&gt;0,MIN(100,T294/(U294*5)*100),"")</f>
        <v/>
      </c>
      <c r="AG294" s="47" t="str">
        <f aca="false">IF(OR(V294="",N(W294)&lt;10),"",(V294-1)/4*100)</f>
        <v/>
      </c>
      <c r="AH294" s="47" t="str">
        <f aca="false">IF($C294="","",COUNT(X294:AG294))</f>
        <v/>
      </c>
      <c r="AI294" s="47" t="str">
        <f aca="false">IF(OR($C294="",N(AH294)&lt;Parámetros!$B$18),"",(IF(ISNUMBER(X294),X294*Parámetros!$B$2,0)+IF(ISNUMBER(Y294),Y294*Parámetros!$B$3,0)+IF(ISNUMBER(Z294),Z294*Parámetros!$B$4,0)+IF(ISNUMBER(AA294),AA294*Parámetros!$B$5,0)+IF(ISNUMBER(AB294),AB294*Parámetros!$B$6,0)+IF(ISNUMBER(AC294),AC294*Parámetros!$B$7,0)+IF(ISNUMBER(AD294),AD294*Parámetros!$B$8,0)+IF(ISNUMBER(AE294),AE294*Parámetros!$B$9,0)+IF(ISNUMBER(AF294),AF294*Parámetros!$B$10,0)+IF(ISNUMBER(AG294),AG294*Parámetros!$B$11,0))/(IF(ISNUMBER(X294),Parámetros!$B$2,0)+IF(ISNUMBER(Y294),Parámetros!$B$3,0)+IF(ISNUMBER(Z294),Parámetros!$B$4,0)+IF(ISNUMBER(AA294),Parámetros!$B$5,0)+IF(ISNUMBER(AB294),Parámetros!$B$6,0)+IF(ISNUMBER(AC294),Parámetros!$B$7,0)+IF(ISNUMBER(AD294),Parámetros!$B$8,0)+IF(ISNUMBER(AE294),Parámetros!$B$9,0)+IF(ISNUMBER(AF294),Parámetros!$B$10,0)+IF(ISNUMBER(AG294),Parámetros!$B$11,0)))</f>
        <v/>
      </c>
      <c r="AJ294" s="47" t="n">
        <f aca="false">IF(AND(ISNUMBER(Y294),N(Y294)&lt;60),69.9,IF(OR(AND(ISNUMBER(AE294),N(AE294)&lt;80),AND(ISNUMBER(AC294),N(AC294)&lt;50,N(O294)&gt;=2)),84.9,100))</f>
        <v>100</v>
      </c>
      <c r="AK294" s="47" t="str">
        <f aca="false">IF(AI294="","",MIN(AI294,AJ294))</f>
        <v/>
      </c>
      <c r="AL294" s="47" t="str">
        <f aca="false">IF($C294="","",IF(AK294="","Gris — menos de 3 fuentes",IF(AND(AK294&lt;Parámetros!$B$14,N294&lt;&gt;"",N(N294)&lt;Parámetros!$B$15,N(Y294)&gt;=60),"Gris — repetir observación",IF(AK294&gt;=Parámetros!$B$13,"Verde",IF(AK294&gt;=Parámetros!$B$14,"Amarillo","Rojo")))))</f>
        <v/>
      </c>
      <c r="AM294" s="47" t="str">
        <f aca="false">IF($C294="","",IF(AND(ISNUMBER(Y294),N(Y294)&lt;60),"Ejecución &lt; 60 %: rojo automático",IF(AND(ISNUMBER(AE294),N(AE294)&lt;80),"PIAR &lt; 80 %: máximo amarillo",IF(AND(ISNUMBER(AC294),N(AC294)&lt;50,N(O294)&gt;=2),"Observación &lt; 50: máximo amarillo",IF(AND(N294&lt;&gt;"",N(N294)&lt;Parámetros!$B$15),"κ &lt; 0,60: observación descartada, repetir","")))))</f>
        <v/>
      </c>
    </row>
    <row r="295" customFormat="false" ht="15" hidden="false" customHeight="fals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7" t="str">
        <f aca="false">IF(N(E295)&gt;0,MIN(100,F295/E295*100),"")</f>
        <v/>
      </c>
      <c r="Y295" s="47" t="str">
        <f aca="false">IF(N(G295)&gt;0,MIN(100,H295/G295*100),"")</f>
        <v/>
      </c>
      <c r="Z295" s="47" t="str">
        <f aca="false">IF(N(I295)&gt;0,MIN(100,J295/I295*100),"")</f>
        <v/>
      </c>
      <c r="AA295" s="47" t="str">
        <f aca="false">IF(K295="","",K295/24*100)</f>
        <v/>
      </c>
      <c r="AB295" s="47" t="str">
        <f aca="false">IF(L295="","",L295/3*100)</f>
        <v/>
      </c>
      <c r="AC295" s="47" t="str">
        <f aca="false">IF(OR(M295="",AND(N295&lt;&gt;"",N(N295)&lt;Parámetros!$B$15)),"",MAX(0,MIN(100,(M295-1)/4*100)))</f>
        <v/>
      </c>
      <c r="AD295" s="47" t="str">
        <f aca="false">IF(OR(P295="",N(Q295)=0),"",MAX(0,MIN(100,((Q295/(Q295+Parámetros!$B$16))*P295+(Parámetros!$B$16/(Q295+Parámetros!$B$16))*Parámetros!$B$17-0.1)/0.4*100)))</f>
        <v/>
      </c>
      <c r="AE295" s="47" t="str">
        <f aca="false">IF(N(R295)&gt;0,MIN(100,S295/R295*100),"")</f>
        <v/>
      </c>
      <c r="AF295" s="47" t="str">
        <f aca="false">IF(N(U295)&gt;0,MIN(100,T295/(U295*5)*100),"")</f>
        <v/>
      </c>
      <c r="AG295" s="47" t="str">
        <f aca="false">IF(OR(V295="",N(W295)&lt;10),"",(V295-1)/4*100)</f>
        <v/>
      </c>
      <c r="AH295" s="47" t="str">
        <f aca="false">IF($C295="","",COUNT(X295:AG295))</f>
        <v/>
      </c>
      <c r="AI295" s="47" t="str">
        <f aca="false">IF(OR($C295="",N(AH295)&lt;Parámetros!$B$18),"",(IF(ISNUMBER(X295),X295*Parámetros!$B$2,0)+IF(ISNUMBER(Y295),Y295*Parámetros!$B$3,0)+IF(ISNUMBER(Z295),Z295*Parámetros!$B$4,0)+IF(ISNUMBER(AA295),AA295*Parámetros!$B$5,0)+IF(ISNUMBER(AB295),AB295*Parámetros!$B$6,0)+IF(ISNUMBER(AC295),AC295*Parámetros!$B$7,0)+IF(ISNUMBER(AD295),AD295*Parámetros!$B$8,0)+IF(ISNUMBER(AE295),AE295*Parámetros!$B$9,0)+IF(ISNUMBER(AF295),AF295*Parámetros!$B$10,0)+IF(ISNUMBER(AG295),AG295*Parámetros!$B$11,0))/(IF(ISNUMBER(X295),Parámetros!$B$2,0)+IF(ISNUMBER(Y295),Parámetros!$B$3,0)+IF(ISNUMBER(Z295),Parámetros!$B$4,0)+IF(ISNUMBER(AA295),Parámetros!$B$5,0)+IF(ISNUMBER(AB295),Parámetros!$B$6,0)+IF(ISNUMBER(AC295),Parámetros!$B$7,0)+IF(ISNUMBER(AD295),Parámetros!$B$8,0)+IF(ISNUMBER(AE295),Parámetros!$B$9,0)+IF(ISNUMBER(AF295),Parámetros!$B$10,0)+IF(ISNUMBER(AG295),Parámetros!$B$11,0)))</f>
        <v/>
      </c>
      <c r="AJ295" s="47" t="n">
        <f aca="false">IF(AND(ISNUMBER(Y295),N(Y295)&lt;60),69.9,IF(OR(AND(ISNUMBER(AE295),N(AE295)&lt;80),AND(ISNUMBER(AC295),N(AC295)&lt;50,N(O295)&gt;=2)),84.9,100))</f>
        <v>100</v>
      </c>
      <c r="AK295" s="47" t="str">
        <f aca="false">IF(AI295="","",MIN(AI295,AJ295))</f>
        <v/>
      </c>
      <c r="AL295" s="47" t="str">
        <f aca="false">IF($C295="","",IF(AK295="","Gris — menos de 3 fuentes",IF(AND(AK295&lt;Parámetros!$B$14,N295&lt;&gt;"",N(N295)&lt;Parámetros!$B$15,N(Y295)&gt;=60),"Gris — repetir observación",IF(AK295&gt;=Parámetros!$B$13,"Verde",IF(AK295&gt;=Parámetros!$B$14,"Amarillo","Rojo")))))</f>
        <v/>
      </c>
      <c r="AM295" s="47" t="str">
        <f aca="false">IF($C295="","",IF(AND(ISNUMBER(Y295),N(Y295)&lt;60),"Ejecución &lt; 60 %: rojo automático",IF(AND(ISNUMBER(AE295),N(AE295)&lt;80),"PIAR &lt; 80 %: máximo amarillo",IF(AND(ISNUMBER(AC295),N(AC295)&lt;50,N(O295)&gt;=2),"Observación &lt; 50: máximo amarillo",IF(AND(N295&lt;&gt;"",N(N295)&lt;Parámetros!$B$15),"κ &lt; 0,60: observación descartada, repetir","")))))</f>
        <v/>
      </c>
    </row>
    <row r="296" customFormat="false" ht="15" hidden="false" customHeight="fals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7" t="str">
        <f aca="false">IF(N(E296)&gt;0,MIN(100,F296/E296*100),"")</f>
        <v/>
      </c>
      <c r="Y296" s="47" t="str">
        <f aca="false">IF(N(G296)&gt;0,MIN(100,H296/G296*100),"")</f>
        <v/>
      </c>
      <c r="Z296" s="47" t="str">
        <f aca="false">IF(N(I296)&gt;0,MIN(100,J296/I296*100),"")</f>
        <v/>
      </c>
      <c r="AA296" s="47" t="str">
        <f aca="false">IF(K296="","",K296/24*100)</f>
        <v/>
      </c>
      <c r="AB296" s="47" t="str">
        <f aca="false">IF(L296="","",L296/3*100)</f>
        <v/>
      </c>
      <c r="AC296" s="47" t="str">
        <f aca="false">IF(OR(M296="",AND(N296&lt;&gt;"",N(N296)&lt;Parámetros!$B$15)),"",MAX(0,MIN(100,(M296-1)/4*100)))</f>
        <v/>
      </c>
      <c r="AD296" s="47" t="str">
        <f aca="false">IF(OR(P296="",N(Q296)=0),"",MAX(0,MIN(100,((Q296/(Q296+Parámetros!$B$16))*P296+(Parámetros!$B$16/(Q296+Parámetros!$B$16))*Parámetros!$B$17-0.1)/0.4*100)))</f>
        <v/>
      </c>
      <c r="AE296" s="47" t="str">
        <f aca="false">IF(N(R296)&gt;0,MIN(100,S296/R296*100),"")</f>
        <v/>
      </c>
      <c r="AF296" s="47" t="str">
        <f aca="false">IF(N(U296)&gt;0,MIN(100,T296/(U296*5)*100),"")</f>
        <v/>
      </c>
      <c r="AG296" s="47" t="str">
        <f aca="false">IF(OR(V296="",N(W296)&lt;10),"",(V296-1)/4*100)</f>
        <v/>
      </c>
      <c r="AH296" s="47" t="str">
        <f aca="false">IF($C296="","",COUNT(X296:AG296))</f>
        <v/>
      </c>
      <c r="AI296" s="47" t="str">
        <f aca="false">IF(OR($C296="",N(AH296)&lt;Parámetros!$B$18),"",(IF(ISNUMBER(X296),X296*Parámetros!$B$2,0)+IF(ISNUMBER(Y296),Y296*Parámetros!$B$3,0)+IF(ISNUMBER(Z296),Z296*Parámetros!$B$4,0)+IF(ISNUMBER(AA296),AA296*Parámetros!$B$5,0)+IF(ISNUMBER(AB296),AB296*Parámetros!$B$6,0)+IF(ISNUMBER(AC296),AC296*Parámetros!$B$7,0)+IF(ISNUMBER(AD296),AD296*Parámetros!$B$8,0)+IF(ISNUMBER(AE296),AE296*Parámetros!$B$9,0)+IF(ISNUMBER(AF296),AF296*Parámetros!$B$10,0)+IF(ISNUMBER(AG296),AG296*Parámetros!$B$11,0))/(IF(ISNUMBER(X296),Parámetros!$B$2,0)+IF(ISNUMBER(Y296),Parámetros!$B$3,0)+IF(ISNUMBER(Z296),Parámetros!$B$4,0)+IF(ISNUMBER(AA296),Parámetros!$B$5,0)+IF(ISNUMBER(AB296),Parámetros!$B$6,0)+IF(ISNUMBER(AC296),Parámetros!$B$7,0)+IF(ISNUMBER(AD296),Parámetros!$B$8,0)+IF(ISNUMBER(AE296),Parámetros!$B$9,0)+IF(ISNUMBER(AF296),Parámetros!$B$10,0)+IF(ISNUMBER(AG296),Parámetros!$B$11,0)))</f>
        <v/>
      </c>
      <c r="AJ296" s="47" t="n">
        <f aca="false">IF(AND(ISNUMBER(Y296),N(Y296)&lt;60),69.9,IF(OR(AND(ISNUMBER(AE296),N(AE296)&lt;80),AND(ISNUMBER(AC296),N(AC296)&lt;50,N(O296)&gt;=2)),84.9,100))</f>
        <v>100</v>
      </c>
      <c r="AK296" s="47" t="str">
        <f aca="false">IF(AI296="","",MIN(AI296,AJ296))</f>
        <v/>
      </c>
      <c r="AL296" s="47" t="str">
        <f aca="false">IF($C296="","",IF(AK296="","Gris — menos de 3 fuentes",IF(AND(AK296&lt;Parámetros!$B$14,N296&lt;&gt;"",N(N296)&lt;Parámetros!$B$15,N(Y296)&gt;=60),"Gris — repetir observación",IF(AK296&gt;=Parámetros!$B$13,"Verde",IF(AK296&gt;=Parámetros!$B$14,"Amarillo","Rojo")))))</f>
        <v/>
      </c>
      <c r="AM296" s="47" t="str">
        <f aca="false">IF($C296="","",IF(AND(ISNUMBER(Y296),N(Y296)&lt;60),"Ejecución &lt; 60 %: rojo automático",IF(AND(ISNUMBER(AE296),N(AE296)&lt;80),"PIAR &lt; 80 %: máximo amarillo",IF(AND(ISNUMBER(AC296),N(AC296)&lt;50,N(O296)&gt;=2),"Observación &lt; 50: máximo amarillo",IF(AND(N296&lt;&gt;"",N(N296)&lt;Parámetros!$B$15),"κ &lt; 0,60: observación descartada, repetir","")))))</f>
        <v/>
      </c>
    </row>
    <row r="297" customFormat="false" ht="15" hidden="false" customHeight="fals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7" t="str">
        <f aca="false">IF(N(E297)&gt;0,MIN(100,F297/E297*100),"")</f>
        <v/>
      </c>
      <c r="Y297" s="47" t="str">
        <f aca="false">IF(N(G297)&gt;0,MIN(100,H297/G297*100),"")</f>
        <v/>
      </c>
      <c r="Z297" s="47" t="str">
        <f aca="false">IF(N(I297)&gt;0,MIN(100,J297/I297*100),"")</f>
        <v/>
      </c>
      <c r="AA297" s="47" t="str">
        <f aca="false">IF(K297="","",K297/24*100)</f>
        <v/>
      </c>
      <c r="AB297" s="47" t="str">
        <f aca="false">IF(L297="","",L297/3*100)</f>
        <v/>
      </c>
      <c r="AC297" s="47" t="str">
        <f aca="false">IF(OR(M297="",AND(N297&lt;&gt;"",N(N297)&lt;Parámetros!$B$15)),"",MAX(0,MIN(100,(M297-1)/4*100)))</f>
        <v/>
      </c>
      <c r="AD297" s="47" t="str">
        <f aca="false">IF(OR(P297="",N(Q297)=0),"",MAX(0,MIN(100,((Q297/(Q297+Parámetros!$B$16))*P297+(Parámetros!$B$16/(Q297+Parámetros!$B$16))*Parámetros!$B$17-0.1)/0.4*100)))</f>
        <v/>
      </c>
      <c r="AE297" s="47" t="str">
        <f aca="false">IF(N(R297)&gt;0,MIN(100,S297/R297*100),"")</f>
        <v/>
      </c>
      <c r="AF297" s="47" t="str">
        <f aca="false">IF(N(U297)&gt;0,MIN(100,T297/(U297*5)*100),"")</f>
        <v/>
      </c>
      <c r="AG297" s="47" t="str">
        <f aca="false">IF(OR(V297="",N(W297)&lt;10),"",(V297-1)/4*100)</f>
        <v/>
      </c>
      <c r="AH297" s="47" t="str">
        <f aca="false">IF($C297="","",COUNT(X297:AG297))</f>
        <v/>
      </c>
      <c r="AI297" s="47" t="str">
        <f aca="false">IF(OR($C297="",N(AH297)&lt;Parámetros!$B$18),"",(IF(ISNUMBER(X297),X297*Parámetros!$B$2,0)+IF(ISNUMBER(Y297),Y297*Parámetros!$B$3,0)+IF(ISNUMBER(Z297),Z297*Parámetros!$B$4,0)+IF(ISNUMBER(AA297),AA297*Parámetros!$B$5,0)+IF(ISNUMBER(AB297),AB297*Parámetros!$B$6,0)+IF(ISNUMBER(AC297),AC297*Parámetros!$B$7,0)+IF(ISNUMBER(AD297),AD297*Parámetros!$B$8,0)+IF(ISNUMBER(AE297),AE297*Parámetros!$B$9,0)+IF(ISNUMBER(AF297),AF297*Parámetros!$B$10,0)+IF(ISNUMBER(AG297),AG297*Parámetros!$B$11,0))/(IF(ISNUMBER(X297),Parámetros!$B$2,0)+IF(ISNUMBER(Y297),Parámetros!$B$3,0)+IF(ISNUMBER(Z297),Parámetros!$B$4,0)+IF(ISNUMBER(AA297),Parámetros!$B$5,0)+IF(ISNUMBER(AB297),Parámetros!$B$6,0)+IF(ISNUMBER(AC297),Parámetros!$B$7,0)+IF(ISNUMBER(AD297),Parámetros!$B$8,0)+IF(ISNUMBER(AE297),Parámetros!$B$9,0)+IF(ISNUMBER(AF297),Parámetros!$B$10,0)+IF(ISNUMBER(AG297),Parámetros!$B$11,0)))</f>
        <v/>
      </c>
      <c r="AJ297" s="47" t="n">
        <f aca="false">IF(AND(ISNUMBER(Y297),N(Y297)&lt;60),69.9,IF(OR(AND(ISNUMBER(AE297),N(AE297)&lt;80),AND(ISNUMBER(AC297),N(AC297)&lt;50,N(O297)&gt;=2)),84.9,100))</f>
        <v>100</v>
      </c>
      <c r="AK297" s="47" t="str">
        <f aca="false">IF(AI297="","",MIN(AI297,AJ297))</f>
        <v/>
      </c>
      <c r="AL297" s="47" t="str">
        <f aca="false">IF($C297="","",IF(AK297="","Gris — menos de 3 fuentes",IF(AND(AK297&lt;Parámetros!$B$14,N297&lt;&gt;"",N(N297)&lt;Parámetros!$B$15,N(Y297)&gt;=60),"Gris — repetir observación",IF(AK297&gt;=Parámetros!$B$13,"Verde",IF(AK297&gt;=Parámetros!$B$14,"Amarillo","Rojo")))))</f>
        <v/>
      </c>
      <c r="AM297" s="47" t="str">
        <f aca="false">IF($C297="","",IF(AND(ISNUMBER(Y297),N(Y297)&lt;60),"Ejecución &lt; 60 %: rojo automático",IF(AND(ISNUMBER(AE297),N(AE297)&lt;80),"PIAR &lt; 80 %: máximo amarillo",IF(AND(ISNUMBER(AC297),N(AC297)&lt;50,N(O297)&gt;=2),"Observación &lt; 50: máximo amarillo",IF(AND(N297&lt;&gt;"",N(N297)&lt;Parámetros!$B$15),"κ &lt; 0,60: observación descartada, repetir","")))))</f>
        <v/>
      </c>
    </row>
    <row r="298" customFormat="false" ht="15" hidden="false" customHeight="fals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7" t="str">
        <f aca="false">IF(N(E298)&gt;0,MIN(100,F298/E298*100),"")</f>
        <v/>
      </c>
      <c r="Y298" s="47" t="str">
        <f aca="false">IF(N(G298)&gt;0,MIN(100,H298/G298*100),"")</f>
        <v/>
      </c>
      <c r="Z298" s="47" t="str">
        <f aca="false">IF(N(I298)&gt;0,MIN(100,J298/I298*100),"")</f>
        <v/>
      </c>
      <c r="AA298" s="47" t="str">
        <f aca="false">IF(K298="","",K298/24*100)</f>
        <v/>
      </c>
      <c r="AB298" s="47" t="str">
        <f aca="false">IF(L298="","",L298/3*100)</f>
        <v/>
      </c>
      <c r="AC298" s="47" t="str">
        <f aca="false">IF(OR(M298="",AND(N298&lt;&gt;"",N(N298)&lt;Parámetros!$B$15)),"",MAX(0,MIN(100,(M298-1)/4*100)))</f>
        <v/>
      </c>
      <c r="AD298" s="47" t="str">
        <f aca="false">IF(OR(P298="",N(Q298)=0),"",MAX(0,MIN(100,((Q298/(Q298+Parámetros!$B$16))*P298+(Parámetros!$B$16/(Q298+Parámetros!$B$16))*Parámetros!$B$17-0.1)/0.4*100)))</f>
        <v/>
      </c>
      <c r="AE298" s="47" t="str">
        <f aca="false">IF(N(R298)&gt;0,MIN(100,S298/R298*100),"")</f>
        <v/>
      </c>
      <c r="AF298" s="47" t="str">
        <f aca="false">IF(N(U298)&gt;0,MIN(100,T298/(U298*5)*100),"")</f>
        <v/>
      </c>
      <c r="AG298" s="47" t="str">
        <f aca="false">IF(OR(V298="",N(W298)&lt;10),"",(V298-1)/4*100)</f>
        <v/>
      </c>
      <c r="AH298" s="47" t="str">
        <f aca="false">IF($C298="","",COUNT(X298:AG298))</f>
        <v/>
      </c>
      <c r="AI298" s="47" t="str">
        <f aca="false">IF(OR($C298="",N(AH298)&lt;Parámetros!$B$18),"",(IF(ISNUMBER(X298),X298*Parámetros!$B$2,0)+IF(ISNUMBER(Y298),Y298*Parámetros!$B$3,0)+IF(ISNUMBER(Z298),Z298*Parámetros!$B$4,0)+IF(ISNUMBER(AA298),AA298*Parámetros!$B$5,0)+IF(ISNUMBER(AB298),AB298*Parámetros!$B$6,0)+IF(ISNUMBER(AC298),AC298*Parámetros!$B$7,0)+IF(ISNUMBER(AD298),AD298*Parámetros!$B$8,0)+IF(ISNUMBER(AE298),AE298*Parámetros!$B$9,0)+IF(ISNUMBER(AF298),AF298*Parámetros!$B$10,0)+IF(ISNUMBER(AG298),AG298*Parámetros!$B$11,0))/(IF(ISNUMBER(X298),Parámetros!$B$2,0)+IF(ISNUMBER(Y298),Parámetros!$B$3,0)+IF(ISNUMBER(Z298),Parámetros!$B$4,0)+IF(ISNUMBER(AA298),Parámetros!$B$5,0)+IF(ISNUMBER(AB298),Parámetros!$B$6,0)+IF(ISNUMBER(AC298),Parámetros!$B$7,0)+IF(ISNUMBER(AD298),Parámetros!$B$8,0)+IF(ISNUMBER(AE298),Parámetros!$B$9,0)+IF(ISNUMBER(AF298),Parámetros!$B$10,0)+IF(ISNUMBER(AG298),Parámetros!$B$11,0)))</f>
        <v/>
      </c>
      <c r="AJ298" s="47" t="n">
        <f aca="false">IF(AND(ISNUMBER(Y298),N(Y298)&lt;60),69.9,IF(OR(AND(ISNUMBER(AE298),N(AE298)&lt;80),AND(ISNUMBER(AC298),N(AC298)&lt;50,N(O298)&gt;=2)),84.9,100))</f>
        <v>100</v>
      </c>
      <c r="AK298" s="47" t="str">
        <f aca="false">IF(AI298="","",MIN(AI298,AJ298))</f>
        <v/>
      </c>
      <c r="AL298" s="47" t="str">
        <f aca="false">IF($C298="","",IF(AK298="","Gris — menos de 3 fuentes",IF(AND(AK298&lt;Parámetros!$B$14,N298&lt;&gt;"",N(N298)&lt;Parámetros!$B$15,N(Y298)&gt;=60),"Gris — repetir observación",IF(AK298&gt;=Parámetros!$B$13,"Verde",IF(AK298&gt;=Parámetros!$B$14,"Amarillo","Rojo")))))</f>
        <v/>
      </c>
      <c r="AM298" s="47" t="str">
        <f aca="false">IF($C298="","",IF(AND(ISNUMBER(Y298),N(Y298)&lt;60),"Ejecución &lt; 60 %: rojo automático",IF(AND(ISNUMBER(AE298),N(AE298)&lt;80),"PIAR &lt; 80 %: máximo amarillo",IF(AND(ISNUMBER(AC298),N(AC298)&lt;50,N(O298)&gt;=2),"Observación &lt; 50: máximo amarillo",IF(AND(N298&lt;&gt;"",N(N298)&lt;Parámetros!$B$15),"κ &lt; 0,60: observación descartada, repetir","")))))</f>
        <v/>
      </c>
    </row>
    <row r="299" customFormat="false" ht="15" hidden="false" customHeight="fals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7" t="str">
        <f aca="false">IF(N(E299)&gt;0,MIN(100,F299/E299*100),"")</f>
        <v/>
      </c>
      <c r="Y299" s="47" t="str">
        <f aca="false">IF(N(G299)&gt;0,MIN(100,H299/G299*100),"")</f>
        <v/>
      </c>
      <c r="Z299" s="47" t="str">
        <f aca="false">IF(N(I299)&gt;0,MIN(100,J299/I299*100),"")</f>
        <v/>
      </c>
      <c r="AA299" s="47" t="str">
        <f aca="false">IF(K299="","",K299/24*100)</f>
        <v/>
      </c>
      <c r="AB299" s="47" t="str">
        <f aca="false">IF(L299="","",L299/3*100)</f>
        <v/>
      </c>
      <c r="AC299" s="47" t="str">
        <f aca="false">IF(OR(M299="",AND(N299&lt;&gt;"",N(N299)&lt;Parámetros!$B$15)),"",MAX(0,MIN(100,(M299-1)/4*100)))</f>
        <v/>
      </c>
      <c r="AD299" s="47" t="str">
        <f aca="false">IF(OR(P299="",N(Q299)=0),"",MAX(0,MIN(100,((Q299/(Q299+Parámetros!$B$16))*P299+(Parámetros!$B$16/(Q299+Parámetros!$B$16))*Parámetros!$B$17-0.1)/0.4*100)))</f>
        <v/>
      </c>
      <c r="AE299" s="47" t="str">
        <f aca="false">IF(N(R299)&gt;0,MIN(100,S299/R299*100),"")</f>
        <v/>
      </c>
      <c r="AF299" s="47" t="str">
        <f aca="false">IF(N(U299)&gt;0,MIN(100,T299/(U299*5)*100),"")</f>
        <v/>
      </c>
      <c r="AG299" s="47" t="str">
        <f aca="false">IF(OR(V299="",N(W299)&lt;10),"",(V299-1)/4*100)</f>
        <v/>
      </c>
      <c r="AH299" s="47" t="str">
        <f aca="false">IF($C299="","",COUNT(X299:AG299))</f>
        <v/>
      </c>
      <c r="AI299" s="47" t="str">
        <f aca="false">IF(OR($C299="",N(AH299)&lt;Parámetros!$B$18),"",(IF(ISNUMBER(X299),X299*Parámetros!$B$2,0)+IF(ISNUMBER(Y299),Y299*Parámetros!$B$3,0)+IF(ISNUMBER(Z299),Z299*Parámetros!$B$4,0)+IF(ISNUMBER(AA299),AA299*Parámetros!$B$5,0)+IF(ISNUMBER(AB299),AB299*Parámetros!$B$6,0)+IF(ISNUMBER(AC299),AC299*Parámetros!$B$7,0)+IF(ISNUMBER(AD299),AD299*Parámetros!$B$8,0)+IF(ISNUMBER(AE299),AE299*Parámetros!$B$9,0)+IF(ISNUMBER(AF299),AF299*Parámetros!$B$10,0)+IF(ISNUMBER(AG299),AG299*Parámetros!$B$11,0))/(IF(ISNUMBER(X299),Parámetros!$B$2,0)+IF(ISNUMBER(Y299),Parámetros!$B$3,0)+IF(ISNUMBER(Z299),Parámetros!$B$4,0)+IF(ISNUMBER(AA299),Parámetros!$B$5,0)+IF(ISNUMBER(AB299),Parámetros!$B$6,0)+IF(ISNUMBER(AC299),Parámetros!$B$7,0)+IF(ISNUMBER(AD299),Parámetros!$B$8,0)+IF(ISNUMBER(AE299),Parámetros!$B$9,0)+IF(ISNUMBER(AF299),Parámetros!$B$10,0)+IF(ISNUMBER(AG299),Parámetros!$B$11,0)))</f>
        <v/>
      </c>
      <c r="AJ299" s="47" t="n">
        <f aca="false">IF(AND(ISNUMBER(Y299),N(Y299)&lt;60),69.9,IF(OR(AND(ISNUMBER(AE299),N(AE299)&lt;80),AND(ISNUMBER(AC299),N(AC299)&lt;50,N(O299)&gt;=2)),84.9,100))</f>
        <v>100</v>
      </c>
      <c r="AK299" s="47" t="str">
        <f aca="false">IF(AI299="","",MIN(AI299,AJ299))</f>
        <v/>
      </c>
      <c r="AL299" s="47" t="str">
        <f aca="false">IF($C299="","",IF(AK299="","Gris — menos de 3 fuentes",IF(AND(AK299&lt;Parámetros!$B$14,N299&lt;&gt;"",N(N299)&lt;Parámetros!$B$15,N(Y299)&gt;=60),"Gris — repetir observación",IF(AK299&gt;=Parámetros!$B$13,"Verde",IF(AK299&gt;=Parámetros!$B$14,"Amarillo","Rojo")))))</f>
        <v/>
      </c>
      <c r="AM299" s="47" t="str">
        <f aca="false">IF($C299="","",IF(AND(ISNUMBER(Y299),N(Y299)&lt;60),"Ejecución &lt; 60 %: rojo automático",IF(AND(ISNUMBER(AE299),N(AE299)&lt;80),"PIAR &lt; 80 %: máximo amarillo",IF(AND(ISNUMBER(AC299),N(AC299)&lt;50,N(O299)&gt;=2),"Observación &lt; 50: máximo amarillo",IF(AND(N299&lt;&gt;"",N(N299)&lt;Parámetros!$B$15),"κ &lt; 0,60: observación descartada, repetir","")))))</f>
        <v/>
      </c>
    </row>
    <row r="300" customFormat="false" ht="15" hidden="false" customHeight="fals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7" t="str">
        <f aca="false">IF(N(E300)&gt;0,MIN(100,F300/E300*100),"")</f>
        <v/>
      </c>
      <c r="Y300" s="47" t="str">
        <f aca="false">IF(N(G300)&gt;0,MIN(100,H300/G300*100),"")</f>
        <v/>
      </c>
      <c r="Z300" s="47" t="str">
        <f aca="false">IF(N(I300)&gt;0,MIN(100,J300/I300*100),"")</f>
        <v/>
      </c>
      <c r="AA300" s="47" t="str">
        <f aca="false">IF(K300="","",K300/24*100)</f>
        <v/>
      </c>
      <c r="AB300" s="47" t="str">
        <f aca="false">IF(L300="","",L300/3*100)</f>
        <v/>
      </c>
      <c r="AC300" s="47" t="str">
        <f aca="false">IF(OR(M300="",AND(N300&lt;&gt;"",N(N300)&lt;Parámetros!$B$15)),"",MAX(0,MIN(100,(M300-1)/4*100)))</f>
        <v/>
      </c>
      <c r="AD300" s="47" t="str">
        <f aca="false">IF(OR(P300="",N(Q300)=0),"",MAX(0,MIN(100,((Q300/(Q300+Parámetros!$B$16))*P300+(Parámetros!$B$16/(Q300+Parámetros!$B$16))*Parámetros!$B$17-0.1)/0.4*100)))</f>
        <v/>
      </c>
      <c r="AE300" s="47" t="str">
        <f aca="false">IF(N(R300)&gt;0,MIN(100,S300/R300*100),"")</f>
        <v/>
      </c>
      <c r="AF300" s="47" t="str">
        <f aca="false">IF(N(U300)&gt;0,MIN(100,T300/(U300*5)*100),"")</f>
        <v/>
      </c>
      <c r="AG300" s="47" t="str">
        <f aca="false">IF(OR(V300="",N(W300)&lt;10),"",(V300-1)/4*100)</f>
        <v/>
      </c>
      <c r="AH300" s="47" t="str">
        <f aca="false">IF($C300="","",COUNT(X300:AG300))</f>
        <v/>
      </c>
      <c r="AI300" s="47" t="str">
        <f aca="false">IF(OR($C300="",N(AH300)&lt;Parámetros!$B$18),"",(IF(ISNUMBER(X300),X300*Parámetros!$B$2,0)+IF(ISNUMBER(Y300),Y300*Parámetros!$B$3,0)+IF(ISNUMBER(Z300),Z300*Parámetros!$B$4,0)+IF(ISNUMBER(AA300),AA300*Parámetros!$B$5,0)+IF(ISNUMBER(AB300),AB300*Parámetros!$B$6,0)+IF(ISNUMBER(AC300),AC300*Parámetros!$B$7,0)+IF(ISNUMBER(AD300),AD300*Parámetros!$B$8,0)+IF(ISNUMBER(AE300),AE300*Parámetros!$B$9,0)+IF(ISNUMBER(AF300),AF300*Parámetros!$B$10,0)+IF(ISNUMBER(AG300),AG300*Parámetros!$B$11,0))/(IF(ISNUMBER(X300),Parámetros!$B$2,0)+IF(ISNUMBER(Y300),Parámetros!$B$3,0)+IF(ISNUMBER(Z300),Parámetros!$B$4,0)+IF(ISNUMBER(AA300),Parámetros!$B$5,0)+IF(ISNUMBER(AB300),Parámetros!$B$6,0)+IF(ISNUMBER(AC300),Parámetros!$B$7,0)+IF(ISNUMBER(AD300),Parámetros!$B$8,0)+IF(ISNUMBER(AE300),Parámetros!$B$9,0)+IF(ISNUMBER(AF300),Parámetros!$B$10,0)+IF(ISNUMBER(AG300),Parámetros!$B$11,0)))</f>
        <v/>
      </c>
      <c r="AJ300" s="47" t="n">
        <f aca="false">IF(AND(ISNUMBER(Y300),N(Y300)&lt;60),69.9,IF(OR(AND(ISNUMBER(AE300),N(AE300)&lt;80),AND(ISNUMBER(AC300),N(AC300)&lt;50,N(O300)&gt;=2)),84.9,100))</f>
        <v>100</v>
      </c>
      <c r="AK300" s="47" t="str">
        <f aca="false">IF(AI300="","",MIN(AI300,AJ300))</f>
        <v/>
      </c>
      <c r="AL300" s="47" t="str">
        <f aca="false">IF($C300="","",IF(AK300="","Gris — menos de 3 fuentes",IF(AND(AK300&lt;Parámetros!$B$14,N300&lt;&gt;"",N(N300)&lt;Parámetros!$B$15,N(Y300)&gt;=60),"Gris — repetir observación",IF(AK300&gt;=Parámetros!$B$13,"Verde",IF(AK300&gt;=Parámetros!$B$14,"Amarillo","Rojo")))))</f>
        <v/>
      </c>
      <c r="AM300" s="47" t="str">
        <f aca="false">IF($C300="","",IF(AND(ISNUMBER(Y300),N(Y300)&lt;60),"Ejecución &lt; 60 %: rojo automático",IF(AND(ISNUMBER(AE300),N(AE300)&lt;80),"PIAR &lt; 80 %: máximo amarillo",IF(AND(ISNUMBER(AC300),N(AC300)&lt;50,N(O300)&gt;=2),"Observación &lt; 50: máximo amarillo",IF(AND(N300&lt;&gt;"",N(N300)&lt;Parámetros!$B$15),"κ &lt; 0,60: observación descartada, repetir","")))))</f>
        <v/>
      </c>
    </row>
    <row r="301" customFormat="false" ht="15" hidden="false" customHeight="fals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7" t="str">
        <f aca="false">IF(N(E301)&gt;0,MIN(100,F301/E301*100),"")</f>
        <v/>
      </c>
      <c r="Y301" s="47" t="str">
        <f aca="false">IF(N(G301)&gt;0,MIN(100,H301/G301*100),"")</f>
        <v/>
      </c>
      <c r="Z301" s="47" t="str">
        <f aca="false">IF(N(I301)&gt;0,MIN(100,J301/I301*100),"")</f>
        <v/>
      </c>
      <c r="AA301" s="47" t="str">
        <f aca="false">IF(K301="","",K301/24*100)</f>
        <v/>
      </c>
      <c r="AB301" s="47" t="str">
        <f aca="false">IF(L301="","",L301/3*100)</f>
        <v/>
      </c>
      <c r="AC301" s="47" t="str">
        <f aca="false">IF(OR(M301="",AND(N301&lt;&gt;"",N(N301)&lt;Parámetros!$B$15)),"",MAX(0,MIN(100,(M301-1)/4*100)))</f>
        <v/>
      </c>
      <c r="AD301" s="47" t="str">
        <f aca="false">IF(OR(P301="",N(Q301)=0),"",MAX(0,MIN(100,((Q301/(Q301+Parámetros!$B$16))*P301+(Parámetros!$B$16/(Q301+Parámetros!$B$16))*Parámetros!$B$17-0.1)/0.4*100)))</f>
        <v/>
      </c>
      <c r="AE301" s="47" t="str">
        <f aca="false">IF(N(R301)&gt;0,MIN(100,S301/R301*100),"")</f>
        <v/>
      </c>
      <c r="AF301" s="47" t="str">
        <f aca="false">IF(N(U301)&gt;0,MIN(100,T301/(U301*5)*100),"")</f>
        <v/>
      </c>
      <c r="AG301" s="47" t="str">
        <f aca="false">IF(OR(V301="",N(W301)&lt;10),"",(V301-1)/4*100)</f>
        <v/>
      </c>
      <c r="AH301" s="47" t="str">
        <f aca="false">IF($C301="","",COUNT(X301:AG301))</f>
        <v/>
      </c>
      <c r="AI301" s="47" t="str">
        <f aca="false">IF(OR($C301="",N(AH301)&lt;Parámetros!$B$18),"",(IF(ISNUMBER(X301),X301*Parámetros!$B$2,0)+IF(ISNUMBER(Y301),Y301*Parámetros!$B$3,0)+IF(ISNUMBER(Z301),Z301*Parámetros!$B$4,0)+IF(ISNUMBER(AA301),AA301*Parámetros!$B$5,0)+IF(ISNUMBER(AB301),AB301*Parámetros!$B$6,0)+IF(ISNUMBER(AC301),AC301*Parámetros!$B$7,0)+IF(ISNUMBER(AD301),AD301*Parámetros!$B$8,0)+IF(ISNUMBER(AE301),AE301*Parámetros!$B$9,0)+IF(ISNUMBER(AF301),AF301*Parámetros!$B$10,0)+IF(ISNUMBER(AG301),AG301*Parámetros!$B$11,0))/(IF(ISNUMBER(X301),Parámetros!$B$2,0)+IF(ISNUMBER(Y301),Parámetros!$B$3,0)+IF(ISNUMBER(Z301),Parámetros!$B$4,0)+IF(ISNUMBER(AA301),Parámetros!$B$5,0)+IF(ISNUMBER(AB301),Parámetros!$B$6,0)+IF(ISNUMBER(AC301),Parámetros!$B$7,0)+IF(ISNUMBER(AD301),Parámetros!$B$8,0)+IF(ISNUMBER(AE301),Parámetros!$B$9,0)+IF(ISNUMBER(AF301),Parámetros!$B$10,0)+IF(ISNUMBER(AG301),Parámetros!$B$11,0)))</f>
        <v/>
      </c>
      <c r="AJ301" s="47" t="n">
        <f aca="false">IF(AND(ISNUMBER(Y301),N(Y301)&lt;60),69.9,IF(OR(AND(ISNUMBER(AE301),N(AE301)&lt;80),AND(ISNUMBER(AC301),N(AC301)&lt;50,N(O301)&gt;=2)),84.9,100))</f>
        <v>100</v>
      </c>
      <c r="AK301" s="47" t="str">
        <f aca="false">IF(AI301="","",MIN(AI301,AJ301))</f>
        <v/>
      </c>
      <c r="AL301" s="47" t="str">
        <f aca="false">IF($C301="","",IF(AK301="","Gris — menos de 3 fuentes",IF(AND(AK301&lt;Parámetros!$B$14,N301&lt;&gt;"",N(N301)&lt;Parámetros!$B$15,N(Y301)&gt;=60),"Gris — repetir observación",IF(AK301&gt;=Parámetros!$B$13,"Verde",IF(AK301&gt;=Parámetros!$B$14,"Amarillo","Rojo")))))</f>
        <v/>
      </c>
      <c r="AM301" s="47" t="str">
        <f aca="false">IF($C301="","",IF(AND(ISNUMBER(Y301),N(Y301)&lt;60),"Ejecución &lt; 60 %: rojo automático",IF(AND(ISNUMBER(AE301),N(AE301)&lt;80),"PIAR &lt; 80 %: máximo amarillo",IF(AND(ISNUMBER(AC301),N(AC301)&lt;50,N(O301)&gt;=2),"Observación &lt; 50: máximo amarillo",IF(AND(N301&lt;&gt;"",N(N301)&lt;Parámetros!$B$15),"κ &lt; 0,60: observación descartada, repetir","")))))</f>
        <v/>
      </c>
    </row>
  </sheetData>
  <conditionalFormatting sqref="AL2:AL301">
    <cfRule type="expression" priority="2" aboveAverage="0" equalAverage="0" bottom="0" percent="0" rank="0" text="" dxfId="3">
      <formula>LEFT($AL2,5)="Verde"</formula>
    </cfRule>
    <cfRule type="expression" priority="3" aboveAverage="0" equalAverage="0" bottom="0" percent="0" rank="0" text="" dxfId="4">
      <formula>LEFT($AL2,8)="Amarillo"</formula>
    </cfRule>
    <cfRule type="expression" priority="4" aboveAverage="0" equalAverage="0" bottom="0" percent="0" rank="0" text="" dxfId="5">
      <formula>LEFT($AL2,4)="Rojo"</formula>
    </cfRule>
    <cfRule type="expression" priority="5" aboveAverage="0" equalAverage="0" bottom="0" percent="0" rank="0" text="" dxfId="6">
      <formula>LEFT($AL2,4)="Gris"</formula>
    </cfRule>
  </conditionalFormatting>
  <dataValidations count="2">
    <dataValidation allowBlank="false" error="El período va de 1 a 4" errorStyle="stop" errorTitle="Período" operator="between" showDropDown="false" showErrorMessage="true" showInputMessage="false" sqref="B2:B301" type="whole">
      <formula1>1</formula1>
      <formula2>4</formula2>
    </dataValidation>
    <dataValidation allowBlank="false" errorStyle="stop" operator="between" showDropDown="false" showErrorMessage="false" showInputMessage="false" sqref="M2:M301 V2:V301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48" t="s">
        <v>157</v>
      </c>
    </row>
    <row r="3" customFormat="false" ht="15" hidden="false" customHeight="false" outlineLevel="0" collapsed="false">
      <c r="A3" s="49" t="s">
        <v>158</v>
      </c>
      <c r="B3" s="50" t="n">
        <f aca="false">Dashboard!$E$4</f>
        <v>2027</v>
      </c>
      <c r="C3" s="51" t="s">
        <v>159</v>
      </c>
    </row>
    <row r="4" customFormat="false" ht="15" hidden="false" customHeight="false" outlineLevel="0" collapsed="false">
      <c r="A4" s="49" t="s">
        <v>160</v>
      </c>
      <c r="B4" s="50" t="n">
        <f aca="false">Dashboard!$K$4</f>
        <v>0</v>
      </c>
    </row>
    <row r="6" customFormat="false" ht="15" hidden="false" customHeight="false" outlineLevel="0" collapsed="false">
      <c r="A6" s="49" t="s">
        <v>161</v>
      </c>
      <c r="B6" s="52" t="n">
        <f aca="false">IFERROR(AVERAGEIFS(Registro!$AK$2:$AK$301,Registro!$A$2:$A$301,$B$3,Registro!$B$2:$B$301,IF($B$4=0,"&gt;0",$B$4)),"—")</f>
        <v>77.5514638285421</v>
      </c>
    </row>
    <row r="7" customFormat="false" ht="15" hidden="false" customHeight="false" outlineLevel="0" collapsed="false">
      <c r="A7" s="49" t="s">
        <v>162</v>
      </c>
      <c r="B7" s="52" t="n">
        <f aca="false">COUNTIFS(Registro!$A$2:$A$301,$B$3,Registro!$B$2:$B$301,IF($B$4=0,"&gt;0",$B$4),Registro!$AL$2:$AL$301,"Verde")</f>
        <v>5</v>
      </c>
    </row>
    <row r="8" customFormat="false" ht="15" hidden="false" customHeight="false" outlineLevel="0" collapsed="false">
      <c r="A8" s="49" t="s">
        <v>163</v>
      </c>
      <c r="B8" s="52" t="n">
        <f aca="false">COUNTIFS(Registro!$A$2:$A$301,$B$3,Registro!$B$2:$B$301,IF($B$4=0,"&gt;0",$B$4),Registro!$AL$2:$AL$301,"Amarillo")</f>
        <v>8</v>
      </c>
    </row>
    <row r="9" customFormat="false" ht="15" hidden="false" customHeight="false" outlineLevel="0" collapsed="false">
      <c r="A9" s="49" t="s">
        <v>164</v>
      </c>
      <c r="B9" s="52" t="n">
        <f aca="false">COUNTIFS(Registro!$A$2:$A$301,$B$3,Registro!$B$2:$B$301,IF($B$4=0,"&gt;0",$B$4),Registro!$AL$2:$AL$301,"Rojo")</f>
        <v>3</v>
      </c>
    </row>
    <row r="10" customFormat="false" ht="15" hidden="false" customHeight="false" outlineLevel="0" collapsed="false">
      <c r="A10" s="49" t="s">
        <v>165</v>
      </c>
      <c r="B10" s="52" t="n">
        <f aca="false">COUNTIFS(Registro!$A$2:$A$301,$B$3,Registro!$B$2:$B$301,IF($B$4=0,"&gt;0",$B$4),Registro!$AL$2:$AL$301,"Gris*")</f>
        <v>0</v>
      </c>
    </row>
    <row r="12" customFormat="false" ht="54" hidden="false" customHeight="true" outlineLevel="0" collapsed="false">
      <c r="A12" s="40" t="s">
        <v>166</v>
      </c>
      <c r="B12" s="40" t="s">
        <v>20</v>
      </c>
      <c r="C12" s="40" t="s">
        <v>167</v>
      </c>
    </row>
    <row r="13" customFormat="false" ht="15" hidden="false" customHeight="false" outlineLevel="0" collapsed="false">
      <c r="A13" s="53" t="s">
        <v>68</v>
      </c>
      <c r="B13" s="54" t="n">
        <f aca="false">IFERROR(AVERAGEIFS(Registro!$X$2:$X$301,Registro!$A$2:$A$301,$B$3,Registro!$B$2:$B$301,IF($B$4=0,"&gt;0",$B$4)),"—")</f>
        <v>82.5</v>
      </c>
      <c r="C13" s="55" t="s">
        <v>168</v>
      </c>
    </row>
    <row r="14" customFormat="false" ht="15" hidden="false" customHeight="false" outlineLevel="0" collapsed="false">
      <c r="A14" s="53" t="s">
        <v>70</v>
      </c>
      <c r="B14" s="54" t="n">
        <f aca="false">IFERROR(AVERAGEIFS(Registro!$Y$2:$Y$301,Registro!$A$2:$A$301,$B$3,Registro!$B$2:$B$301,IF($B$4=0,"&gt;0",$B$4)),"—")</f>
        <v>88.125</v>
      </c>
      <c r="C14" s="55" t="s">
        <v>168</v>
      </c>
    </row>
    <row r="15" customFormat="false" ht="15" hidden="false" customHeight="false" outlineLevel="0" collapsed="false">
      <c r="A15" s="53" t="s">
        <v>72</v>
      </c>
      <c r="B15" s="54" t="n">
        <f aca="false">IFERROR(AVERAGEIFS(Registro!$Z$2:$Z$301,Registro!$A$2:$A$301,$B$3,Registro!$B$2:$B$301,IF($B$4=0,"&gt;0",$B$4)),"—")</f>
        <v>84.375</v>
      </c>
      <c r="C15" s="55" t="s">
        <v>168</v>
      </c>
    </row>
    <row r="16" customFormat="false" ht="15" hidden="false" customHeight="false" outlineLevel="0" collapsed="false">
      <c r="A16" s="53" t="s">
        <v>74</v>
      </c>
      <c r="B16" s="54" t="n">
        <f aca="false">IFERROR(AVERAGEIFS(Registro!$AA$2:$AA$301,Registro!$A$2:$A$301,$B$3,Registro!$B$2:$B$301,IF($B$4=0,"&gt;0",$B$4)),"—")</f>
        <v>73.4375</v>
      </c>
      <c r="C16" s="55" t="s">
        <v>168</v>
      </c>
    </row>
    <row r="17" customFormat="false" ht="15" hidden="false" customHeight="false" outlineLevel="0" collapsed="false">
      <c r="A17" s="53" t="s">
        <v>76</v>
      </c>
      <c r="B17" s="54" t="n">
        <f aca="false">IFERROR(AVERAGEIFS(Registro!$AB$2:$AB$301,Registro!$A$2:$A$301,$B$3,Registro!$B$2:$B$301,IF($B$4=0,"&gt;0",$B$4)),"—")</f>
        <v>74.1666666666667</v>
      </c>
      <c r="C17" s="55" t="s">
        <v>168</v>
      </c>
    </row>
    <row r="18" customFormat="false" ht="15" hidden="false" customHeight="false" outlineLevel="0" collapsed="false">
      <c r="A18" s="53" t="s">
        <v>78</v>
      </c>
      <c r="B18" s="54" t="n">
        <f aca="false">IFERROR(AVERAGEIFS(Registro!$AC$2:$AC$301,Registro!$A$2:$A$301,$B$3,Registro!$B$2:$B$301,IF($B$4=0,"&gt;0",$B$4)),"—")</f>
        <v>73.125</v>
      </c>
      <c r="C18" s="55" t="s">
        <v>168</v>
      </c>
    </row>
    <row r="19" customFormat="false" ht="15" hidden="false" customHeight="false" outlineLevel="0" collapsed="false">
      <c r="A19" s="53" t="s">
        <v>80</v>
      </c>
      <c r="B19" s="54" t="n">
        <f aca="false">IFERROR(AVERAGEIFS(Registro!$AD$2:$AD$301,Registro!$A$2:$A$301,$B$3,Registro!$B$2:$B$301,IF($B$4=0,"&gt;0",$B$4)),"—")</f>
        <v>71.1546988933915</v>
      </c>
      <c r="C19" s="55" t="s">
        <v>168</v>
      </c>
    </row>
    <row r="20" customFormat="false" ht="15" hidden="false" customHeight="false" outlineLevel="0" collapsed="false">
      <c r="A20" s="53" t="s">
        <v>82</v>
      </c>
      <c r="B20" s="54" t="n">
        <f aca="false">IFERROR(AVERAGEIFS(Registro!$AE$2:$AE$301,Registro!$A$2:$A$301,$B$3,Registro!$B$2:$B$301,IF($B$4=0,"&gt;0",$B$4)),"—")</f>
        <v>94.4444444444445</v>
      </c>
      <c r="C20" s="55" t="s">
        <v>168</v>
      </c>
    </row>
    <row r="21" customFormat="false" ht="15" hidden="false" customHeight="false" outlineLevel="0" collapsed="false">
      <c r="A21" s="53" t="s">
        <v>84</v>
      </c>
      <c r="B21" s="54" t="n">
        <f aca="false">IFERROR(AVERAGEIFS(Registro!$AF$2:$AF$301,Registro!$A$2:$A$301,$B$3,Registro!$B$2:$B$301,IF($B$4=0,"&gt;0",$B$4)),"—")</f>
        <v>85</v>
      </c>
      <c r="C21" s="55" t="s">
        <v>168</v>
      </c>
    </row>
    <row r="22" customFormat="false" ht="15" hidden="false" customHeight="false" outlineLevel="0" collapsed="false">
      <c r="A22" s="53" t="s">
        <v>86</v>
      </c>
      <c r="B22" s="54" t="n">
        <f aca="false">IFERROR(AVERAGEIFS(Registro!$AG$2:$AG$301,Registro!$A$2:$A$301,$B$3,Registro!$B$2:$B$301,IF($B$4=0,"&gt;0",$B$4)),"—")</f>
        <v>80.625</v>
      </c>
      <c r="C22" s="55" t="s">
        <v>168</v>
      </c>
    </row>
    <row r="25" customFormat="false" ht="54" hidden="false" customHeight="true" outlineLevel="0" collapsed="false">
      <c r="A25" s="40" t="s">
        <v>7</v>
      </c>
      <c r="B25" s="40" t="s">
        <v>169</v>
      </c>
      <c r="C25" s="40" t="s">
        <v>11</v>
      </c>
      <c r="D25" s="56" t="s">
        <v>170</v>
      </c>
    </row>
    <row r="26" customFormat="false" ht="15" hidden="false" customHeight="false" outlineLevel="0" collapsed="false">
      <c r="A26" s="46" t="s">
        <v>141</v>
      </c>
      <c r="B26" s="47" t="n">
        <f aca="false">IF(A26="","",IFERROR(AVERAGEIFS(Registro!$AK$2:$AK$301,Registro!$A$2:$A$301,$B$3,Registro!$B$2:$B$301,IF($B$4=0,"&gt;0",$B$4),Registro!$C$2:$C$301,A26),"Sin datos"))</f>
        <v>94.2312644203561</v>
      </c>
      <c r="C26" s="41" t="str">
        <f aca="false">IF(OR(A26="",NOT(ISNUMBER(B26))),"",IF(B26&gt;=Parámetros!$B$13,"Verde",IF(B26&gt;=Parámetros!$B$14,"Amarillo","Rojo")))</f>
        <v>Verde</v>
      </c>
    </row>
    <row r="27" customFormat="false" ht="15" hidden="false" customHeight="false" outlineLevel="0" collapsed="false">
      <c r="A27" s="46" t="s">
        <v>143</v>
      </c>
      <c r="B27" s="47" t="n">
        <f aca="false">IF(A27="","",IFERROR(AVERAGEIFS(Registro!$AK$2:$AK$301,Registro!$A$2:$A$301,$B$3,Registro!$B$2:$B$301,IF($B$4=0,"&gt;0",$B$4),Registro!$C$2:$C$301,A27),"Sin datos"))</f>
        <v>82.7709694989107</v>
      </c>
      <c r="C27" s="41" t="str">
        <f aca="false">IF(OR(A27="",NOT(ISNUMBER(B27))),"",IF(B27&gt;=Parámetros!$B$13,"Verde",IF(B27&gt;=Parámetros!$B$14,"Amarillo","Rojo")))</f>
        <v>Amarillo</v>
      </c>
    </row>
    <row r="28" customFormat="false" ht="15" hidden="false" customHeight="false" outlineLevel="0" collapsed="false">
      <c r="A28" s="46" t="s">
        <v>145</v>
      </c>
      <c r="B28" s="47" t="n">
        <f aca="false">IF(A28="","",IFERROR(AVERAGEIFS(Registro!$AK$2:$AK$301,Registro!$A$2:$A$301,$B$3,Registro!$B$2:$B$301,IF($B$4=0,"&gt;0",$B$4),Registro!$C$2:$C$301,A28),"Sin datos"))</f>
        <v>68.5719037051758</v>
      </c>
      <c r="C28" s="41" t="str">
        <f aca="false">IF(OR(A28="",NOT(ISNUMBER(B28))),"",IF(B28&gt;=Parámetros!$B$13,"Verde",IF(B28&gt;=Parámetros!$B$14,"Amarillo","Rojo")))</f>
        <v>Rojo</v>
      </c>
    </row>
    <row r="29" customFormat="false" ht="15" hidden="false" customHeight="false" outlineLevel="0" collapsed="false">
      <c r="A29" s="46" t="s">
        <v>147</v>
      </c>
      <c r="B29" s="47" t="n">
        <f aca="false">IF(A29="","",IFERROR(AVERAGEIFS(Registro!$AK$2:$AK$301,Registro!$A$2:$A$301,$B$3,Registro!$B$2:$B$301,IF($B$4=0,"&gt;0",$B$4),Registro!$C$2:$C$301,A29),"Sin datos"))</f>
        <v>91.159834682861</v>
      </c>
      <c r="C29" s="41" t="str">
        <f aca="false">IF(OR(A29="",NOT(ISNUMBER(B29))),"",IF(B29&gt;=Parámetros!$B$13,"Verde",IF(B29&gt;=Parámetros!$B$14,"Amarillo","Rojo")))</f>
        <v>Verde</v>
      </c>
    </row>
    <row r="30" customFormat="false" ht="15" hidden="false" customHeight="false" outlineLevel="0" collapsed="false">
      <c r="A30" s="46" t="s">
        <v>149</v>
      </c>
      <c r="B30" s="47" t="n">
        <f aca="false">IF(A30="","",IFERROR(AVERAGEIFS(Registro!$AK$2:$AK$301,Registro!$A$2:$A$301,$B$3,Registro!$B$2:$B$301,IF($B$4=0,"&gt;0",$B$4),Registro!$C$2:$C$301,A30),"Sin datos"))</f>
        <v>72.3726851851852</v>
      </c>
      <c r="C30" s="41" t="str">
        <f aca="false">IF(OR(A30="",NOT(ISNUMBER(B30))),"",IF(B30&gt;=Parámetros!$B$13,"Verde",IF(B30&gt;=Parámetros!$B$14,"Amarillo","Rojo")))</f>
        <v>Amarillo</v>
      </c>
    </row>
    <row r="31" customFormat="false" ht="15" hidden="false" customHeight="false" outlineLevel="0" collapsed="false">
      <c r="A31" s="46" t="s">
        <v>151</v>
      </c>
      <c r="B31" s="47" t="n">
        <f aca="false">IF(A31="","",IFERROR(AVERAGEIFS(Registro!$AK$2:$AK$301,Registro!$A$2:$A$301,$B$3,Registro!$B$2:$B$301,IF($B$4=0,"&gt;0",$B$4),Registro!$C$2:$C$301,A31),"Sin datos"))</f>
        <v>52.4299186520486</v>
      </c>
      <c r="C31" s="41" t="str">
        <f aca="false">IF(OR(A31="",NOT(ISNUMBER(B31))),"",IF(B31&gt;=Parámetros!$B$13,"Verde",IF(B31&gt;=Parámetros!$B$14,"Amarillo","Rojo")))</f>
        <v>Rojo</v>
      </c>
    </row>
    <row r="32" customFormat="false" ht="15" hidden="false" customHeight="false" outlineLevel="0" collapsed="false">
      <c r="A32" s="46" t="s">
        <v>153</v>
      </c>
      <c r="B32" s="47" t="n">
        <f aca="false">IF(A32="","",IFERROR(AVERAGEIFS(Registro!$AK$2:$AK$301,Registro!$A$2:$A$301,$B$3,Registro!$B$2:$B$301,IF($B$4=0,"&gt;0",$B$4),Registro!$C$2:$C$301,A32),"Sin datos"))</f>
        <v>85.7295001616946</v>
      </c>
      <c r="C32" s="41" t="str">
        <f aca="false">IF(OR(A32="",NOT(ISNUMBER(B32))),"",IF(B32&gt;=Parámetros!$B$13,"Verde",IF(B32&gt;=Parámetros!$B$14,"Amarillo","Rojo")))</f>
        <v>Verde</v>
      </c>
    </row>
    <row r="33" customFormat="false" ht="15" hidden="false" customHeight="false" outlineLevel="0" collapsed="false">
      <c r="A33" s="46" t="s">
        <v>155</v>
      </c>
      <c r="B33" s="47" t="n">
        <f aca="false">IF(A33="","",IFERROR(AVERAGEIFS(Registro!$AK$2:$AK$301,Registro!$A$2:$A$301,$B$3,Registro!$B$2:$B$301,IF($B$4=0,"&gt;0",$B$4),Registro!$C$2:$C$301,A33),"Sin datos"))</f>
        <v>73.1456343221049</v>
      </c>
      <c r="C33" s="41" t="str">
        <f aca="false">IF(OR(A33="",NOT(ISNUMBER(B33))),"",IF(B33&gt;=Parámetros!$B$13,"Verde",IF(B33&gt;=Parámetros!$B$14,"Amarillo","Rojo")))</f>
        <v>Amarillo</v>
      </c>
    </row>
    <row r="34" customFormat="false" ht="15" hidden="false" customHeight="false" outlineLevel="0" collapsed="false">
      <c r="A34" s="46"/>
      <c r="B34" s="47" t="str">
        <f aca="false">IF(A34="","",IFERROR(AVERAGEIFS(Registro!$AK$2:$AK$301,Registro!$A$2:$A$301,$B$3,Registro!$B$2:$B$301,IF($B$4=0,"&gt;0",$B$4),Registro!$C$2:$C$301,A34),"Sin datos"))</f>
        <v/>
      </c>
      <c r="C34" s="41" t="str">
        <f aca="false">IF(OR(A34="",NOT(ISNUMBER(B34))),"",IF(B34&gt;=Parámetros!$B$13,"Verde",IF(B34&gt;=Parámetros!$B$14,"Amarillo","Rojo")))</f>
        <v/>
      </c>
    </row>
    <row r="35" customFormat="false" ht="15" hidden="false" customHeight="false" outlineLevel="0" collapsed="false">
      <c r="A35" s="46"/>
      <c r="B35" s="47" t="str">
        <f aca="false">IF(A35="","",IFERROR(AVERAGEIFS(Registro!$AK$2:$AK$301,Registro!$A$2:$A$301,$B$3,Registro!$B$2:$B$301,IF($B$4=0,"&gt;0",$B$4),Registro!$C$2:$C$301,A35),"Sin datos"))</f>
        <v/>
      </c>
      <c r="C35" s="41" t="str">
        <f aca="false">IF(OR(A35="",NOT(ISNUMBER(B35))),"",IF(B35&gt;=Parámetros!$B$13,"Verde",IF(B35&gt;=Parámetros!$B$14,"Amarillo","Rojo")))</f>
        <v/>
      </c>
    </row>
    <row r="36" customFormat="false" ht="15" hidden="false" customHeight="false" outlineLevel="0" collapsed="false">
      <c r="A36" s="46"/>
      <c r="B36" s="47" t="str">
        <f aca="false">IF(A36="","",IFERROR(AVERAGEIFS(Registro!$AK$2:$AK$301,Registro!$A$2:$A$301,$B$3,Registro!$B$2:$B$301,IF($B$4=0,"&gt;0",$B$4),Registro!$C$2:$C$301,A36),"Sin datos"))</f>
        <v/>
      </c>
      <c r="C36" s="41" t="str">
        <f aca="false">IF(OR(A36="",NOT(ISNUMBER(B36))),"",IF(B36&gt;=Parámetros!$B$13,"Verde",IF(B36&gt;=Parámetros!$B$14,"Amarillo","Rojo")))</f>
        <v/>
      </c>
    </row>
    <row r="37" customFormat="false" ht="15" hidden="false" customHeight="false" outlineLevel="0" collapsed="false">
      <c r="A37" s="46"/>
      <c r="B37" s="47" t="str">
        <f aca="false">IF(A37="","",IFERROR(AVERAGEIFS(Registro!$AK$2:$AK$301,Registro!$A$2:$A$301,$B$3,Registro!$B$2:$B$301,IF($B$4=0,"&gt;0",$B$4),Registro!$C$2:$C$301,A37),"Sin datos"))</f>
        <v/>
      </c>
      <c r="C37" s="41" t="str">
        <f aca="false">IF(OR(A37="",NOT(ISNUMBER(B37))),"",IF(B37&gt;=Parámetros!$B$13,"Verde",IF(B37&gt;=Parámetros!$B$14,"Amarillo","Rojo")))</f>
        <v/>
      </c>
    </row>
    <row r="38" customFormat="false" ht="15" hidden="false" customHeight="false" outlineLevel="0" collapsed="false">
      <c r="A38" s="46"/>
      <c r="B38" s="47" t="str">
        <f aca="false">IF(A38="","",IFERROR(AVERAGEIFS(Registro!$AK$2:$AK$301,Registro!$A$2:$A$301,$B$3,Registro!$B$2:$B$301,IF($B$4=0,"&gt;0",$B$4),Registro!$C$2:$C$301,A38),"Sin datos"))</f>
        <v/>
      </c>
      <c r="C38" s="41" t="str">
        <f aca="false">IF(OR(A38="",NOT(ISNUMBER(B38))),"",IF(B38&gt;=Parámetros!$B$13,"Verde",IF(B38&gt;=Parámetros!$B$14,"Amarillo","Rojo")))</f>
        <v/>
      </c>
    </row>
    <row r="39" customFormat="false" ht="15" hidden="false" customHeight="false" outlineLevel="0" collapsed="false">
      <c r="A39" s="46"/>
      <c r="B39" s="47" t="str">
        <f aca="false">IF(A39="","",IFERROR(AVERAGEIFS(Registro!$AK$2:$AK$301,Registro!$A$2:$A$301,$B$3,Registro!$B$2:$B$301,IF($B$4=0,"&gt;0",$B$4),Registro!$C$2:$C$301,A39),"Sin datos"))</f>
        <v/>
      </c>
      <c r="C39" s="41" t="str">
        <f aca="false">IF(OR(A39="",NOT(ISNUMBER(B39))),"",IF(B39&gt;=Parámetros!$B$13,"Verde",IF(B39&gt;=Parámetros!$B$14,"Amarillo","Rojo")))</f>
        <v/>
      </c>
    </row>
    <row r="40" customFormat="false" ht="15" hidden="false" customHeight="false" outlineLevel="0" collapsed="false">
      <c r="A40" s="46"/>
      <c r="B40" s="47" t="str">
        <f aca="false">IF(A40="","",IFERROR(AVERAGEIFS(Registro!$AK$2:$AK$301,Registro!$A$2:$A$301,$B$3,Registro!$B$2:$B$301,IF($B$4=0,"&gt;0",$B$4),Registro!$C$2:$C$301,A40),"Sin datos"))</f>
        <v/>
      </c>
      <c r="C40" s="41" t="str">
        <f aca="false">IF(OR(A40="",NOT(ISNUMBER(B40))),"",IF(B40&gt;=Parámetros!$B$13,"Verde",IF(B40&gt;=Parámetros!$B$14,"Amarillo","Rojo")))</f>
        <v/>
      </c>
    </row>
    <row r="41" customFormat="false" ht="15" hidden="false" customHeight="false" outlineLevel="0" collapsed="false">
      <c r="A41" s="46"/>
      <c r="B41" s="47" t="str">
        <f aca="false">IF(A41="","",IFERROR(AVERAGEIFS(Registro!$AK$2:$AK$301,Registro!$A$2:$A$301,$B$3,Registro!$B$2:$B$301,IF($B$4=0,"&gt;0",$B$4),Registro!$C$2:$C$301,A41),"Sin datos"))</f>
        <v/>
      </c>
      <c r="C41" s="41" t="str">
        <f aca="false">IF(OR(A41="",NOT(ISNUMBER(B41))),"",IF(B41&gt;=Parámetros!$B$13,"Verde",IF(B41&gt;=Parámetros!$B$14,"Amarillo","Rojo")))</f>
        <v/>
      </c>
    </row>
    <row r="42" customFormat="false" ht="15" hidden="false" customHeight="false" outlineLevel="0" collapsed="false">
      <c r="A42" s="46"/>
      <c r="B42" s="47" t="str">
        <f aca="false">IF(A42="","",IFERROR(AVERAGEIFS(Registro!$AK$2:$AK$301,Registro!$A$2:$A$301,$B$3,Registro!$B$2:$B$301,IF($B$4=0,"&gt;0",$B$4),Registro!$C$2:$C$301,A42),"Sin datos"))</f>
        <v/>
      </c>
      <c r="C42" s="41" t="str">
        <f aca="false">IF(OR(A42="",NOT(ISNUMBER(B42))),"",IF(B42&gt;=Parámetros!$B$13,"Verde",IF(B42&gt;=Parámetros!$B$14,"Amarillo","Rojo")))</f>
        <v/>
      </c>
    </row>
    <row r="43" customFormat="false" ht="15" hidden="false" customHeight="false" outlineLevel="0" collapsed="false">
      <c r="A43" s="46"/>
      <c r="B43" s="47" t="str">
        <f aca="false">IF(A43="","",IFERROR(AVERAGEIFS(Registro!$AK$2:$AK$301,Registro!$A$2:$A$301,$B$3,Registro!$B$2:$B$301,IF($B$4=0,"&gt;0",$B$4),Registro!$C$2:$C$301,A43),"Sin datos"))</f>
        <v/>
      </c>
      <c r="C43" s="41" t="str">
        <f aca="false">IF(OR(A43="",NOT(ISNUMBER(B43))),"",IF(B43&gt;=Parámetros!$B$13,"Verde",IF(B43&gt;=Parámetros!$B$14,"Amarillo","Rojo")))</f>
        <v/>
      </c>
    </row>
    <row r="44" customFormat="false" ht="15" hidden="false" customHeight="false" outlineLevel="0" collapsed="false">
      <c r="A44" s="46"/>
      <c r="B44" s="47" t="str">
        <f aca="false">IF(A44="","",IFERROR(AVERAGEIFS(Registro!$AK$2:$AK$301,Registro!$A$2:$A$301,$B$3,Registro!$B$2:$B$301,IF($B$4=0,"&gt;0",$B$4),Registro!$C$2:$C$301,A44),"Sin datos"))</f>
        <v/>
      </c>
      <c r="C44" s="41" t="str">
        <f aca="false">IF(OR(A44="",NOT(ISNUMBER(B44))),"",IF(B44&gt;=Parámetros!$B$13,"Verde",IF(B44&gt;=Parámetros!$B$14,"Amarillo","Rojo")))</f>
        <v/>
      </c>
    </row>
    <row r="45" customFormat="false" ht="15" hidden="false" customHeight="false" outlineLevel="0" collapsed="false">
      <c r="A45" s="46"/>
      <c r="B45" s="47" t="str">
        <f aca="false">IF(A45="","",IFERROR(AVERAGEIFS(Registro!$AK$2:$AK$301,Registro!$A$2:$A$301,$B$3,Registro!$B$2:$B$301,IF($B$4=0,"&gt;0",$B$4),Registro!$C$2:$C$301,A45),"Sin datos"))</f>
        <v/>
      </c>
      <c r="C45" s="41" t="str">
        <f aca="false">IF(OR(A45="",NOT(ISNUMBER(B45))),"",IF(B45&gt;=Parámetros!$B$13,"Verde",IF(B45&gt;=Parámetros!$B$14,"Amarillo","Rojo")))</f>
        <v/>
      </c>
    </row>
    <row r="46" customFormat="false" ht="15" hidden="false" customHeight="false" outlineLevel="0" collapsed="false">
      <c r="A46" s="46"/>
      <c r="B46" s="47" t="str">
        <f aca="false">IF(A46="","",IFERROR(AVERAGEIFS(Registro!$AK$2:$AK$301,Registro!$A$2:$A$301,$B$3,Registro!$B$2:$B$301,IF($B$4=0,"&gt;0",$B$4),Registro!$C$2:$C$301,A46),"Sin datos"))</f>
        <v/>
      </c>
      <c r="C46" s="41" t="str">
        <f aca="false">IF(OR(A46="",NOT(ISNUMBER(B46))),"",IF(B46&gt;=Parámetros!$B$13,"Verde",IF(B46&gt;=Parámetros!$B$14,"Amarillo","Rojo")))</f>
        <v/>
      </c>
    </row>
    <row r="47" customFormat="false" ht="15" hidden="false" customHeight="false" outlineLevel="0" collapsed="false">
      <c r="A47" s="46"/>
      <c r="B47" s="47" t="str">
        <f aca="false">IF(A47="","",IFERROR(AVERAGEIFS(Registro!$AK$2:$AK$301,Registro!$A$2:$A$301,$B$3,Registro!$B$2:$B$301,IF($B$4=0,"&gt;0",$B$4),Registro!$C$2:$C$301,A47),"Sin datos"))</f>
        <v/>
      </c>
      <c r="C47" s="41" t="str">
        <f aca="false">IF(OR(A47="",NOT(ISNUMBER(B47))),"",IF(B47&gt;=Parámetros!$B$13,"Verde",IF(B47&gt;=Parámetros!$B$14,"Amarillo","Rojo")))</f>
        <v/>
      </c>
    </row>
    <row r="48" customFormat="false" ht="15" hidden="false" customHeight="false" outlineLevel="0" collapsed="false">
      <c r="A48" s="46"/>
      <c r="B48" s="47" t="str">
        <f aca="false">IF(A48="","",IFERROR(AVERAGEIFS(Registro!$AK$2:$AK$301,Registro!$A$2:$A$301,$B$3,Registro!$B$2:$B$301,IF($B$4=0,"&gt;0",$B$4),Registro!$C$2:$C$301,A48),"Sin datos"))</f>
        <v/>
      </c>
      <c r="C48" s="41" t="str">
        <f aca="false">IF(OR(A48="",NOT(ISNUMBER(B48))),"",IF(B48&gt;=Parámetros!$B$13,"Verde",IF(B48&gt;=Parámetros!$B$14,"Amarillo","Rojo")))</f>
        <v/>
      </c>
    </row>
    <row r="49" customFormat="false" ht="15" hidden="false" customHeight="false" outlineLevel="0" collapsed="false">
      <c r="A49" s="46"/>
      <c r="B49" s="47" t="str">
        <f aca="false">IF(A49="","",IFERROR(AVERAGEIFS(Registro!$AK$2:$AK$301,Registro!$A$2:$A$301,$B$3,Registro!$B$2:$B$301,IF($B$4=0,"&gt;0",$B$4),Registro!$C$2:$C$301,A49),"Sin datos"))</f>
        <v/>
      </c>
      <c r="C49" s="41" t="str">
        <f aca="false">IF(OR(A49="",NOT(ISNUMBER(B49))),"",IF(B49&gt;=Parámetros!$B$13,"Verde",IF(B49&gt;=Parámetros!$B$14,"Amarillo","Rojo")))</f>
        <v/>
      </c>
    </row>
    <row r="50" customFormat="false" ht="15" hidden="false" customHeight="false" outlineLevel="0" collapsed="false">
      <c r="A50" s="46"/>
      <c r="B50" s="47" t="str">
        <f aca="false">IF(A50="","",IFERROR(AVERAGEIFS(Registro!$AK$2:$AK$301,Registro!$A$2:$A$301,$B$3,Registro!$B$2:$B$301,IF($B$4=0,"&gt;0",$B$4),Registro!$C$2:$C$301,A50),"Sin datos"))</f>
        <v/>
      </c>
      <c r="C50" s="41" t="str">
        <f aca="false">IF(OR(A50="",NOT(ISNUMBER(B50))),"",IF(B50&gt;=Parámetros!$B$13,"Verde",IF(B50&gt;=Parámetros!$B$14,"Amarillo","Rojo")))</f>
        <v/>
      </c>
    </row>
    <row r="51" customFormat="false" ht="15" hidden="false" customHeight="false" outlineLevel="0" collapsed="false">
      <c r="A51" s="46"/>
      <c r="B51" s="47" t="str">
        <f aca="false">IF(A51="","",IFERROR(AVERAGEIFS(Registro!$AK$2:$AK$301,Registro!$A$2:$A$301,$B$3,Registro!$B$2:$B$301,IF($B$4=0,"&gt;0",$B$4),Registro!$C$2:$C$301,A51),"Sin datos"))</f>
        <v/>
      </c>
      <c r="C51" s="41" t="str">
        <f aca="false">IF(OR(A51="",NOT(ISNUMBER(B51))),"",IF(B51&gt;=Parámetros!$B$13,"Verde",IF(B51&gt;=Parámetros!$B$14,"Amarillo","Rojo")))</f>
        <v/>
      </c>
    </row>
    <row r="52" customFormat="false" ht="15" hidden="false" customHeight="false" outlineLevel="0" collapsed="false">
      <c r="A52" s="46"/>
      <c r="B52" s="47" t="str">
        <f aca="false">IF(A52="","",IFERROR(AVERAGEIFS(Registro!$AK$2:$AK$301,Registro!$A$2:$A$301,$B$3,Registro!$B$2:$B$301,IF($B$4=0,"&gt;0",$B$4),Registro!$C$2:$C$301,A52),"Sin datos"))</f>
        <v/>
      </c>
      <c r="C52" s="41" t="str">
        <f aca="false">IF(OR(A52="",NOT(ISNUMBER(B52))),"",IF(B52&gt;=Parámetros!$B$13,"Verde",IF(B52&gt;=Parámetros!$B$14,"Amarillo","Rojo")))</f>
        <v/>
      </c>
    </row>
    <row r="53" customFormat="false" ht="15" hidden="false" customHeight="false" outlineLevel="0" collapsed="false">
      <c r="A53" s="46"/>
      <c r="B53" s="47" t="str">
        <f aca="false">IF(A53="","",IFERROR(AVERAGEIFS(Registro!$AK$2:$AK$301,Registro!$A$2:$A$301,$B$3,Registro!$B$2:$B$301,IF($B$4=0,"&gt;0",$B$4),Registro!$C$2:$C$301,A53),"Sin datos"))</f>
        <v/>
      </c>
      <c r="C53" s="41" t="str">
        <f aca="false">IF(OR(A53="",NOT(ISNUMBER(B53))),"",IF(B53&gt;=Parámetros!$B$13,"Verde",IF(B53&gt;=Parámetros!$B$14,"Amarillo","Rojo")))</f>
        <v/>
      </c>
    </row>
    <row r="54" customFormat="false" ht="15" hidden="false" customHeight="false" outlineLevel="0" collapsed="false">
      <c r="A54" s="46"/>
      <c r="B54" s="47" t="str">
        <f aca="false">IF(A54="","",IFERROR(AVERAGEIFS(Registro!$AK$2:$AK$301,Registro!$A$2:$A$301,$B$3,Registro!$B$2:$B$301,IF($B$4=0,"&gt;0",$B$4),Registro!$C$2:$C$301,A54),"Sin datos"))</f>
        <v/>
      </c>
      <c r="C54" s="41" t="str">
        <f aca="false">IF(OR(A54="",NOT(ISNUMBER(B54))),"",IF(B54&gt;=Parámetros!$B$13,"Verde",IF(B54&gt;=Parámetros!$B$14,"Amarillo","Rojo")))</f>
        <v/>
      </c>
    </row>
    <row r="55" customFormat="false" ht="15" hidden="false" customHeight="false" outlineLevel="0" collapsed="false">
      <c r="A55" s="46"/>
      <c r="B55" s="47" t="str">
        <f aca="false">IF(A55="","",IFERROR(AVERAGEIFS(Registro!$AK$2:$AK$301,Registro!$A$2:$A$301,$B$3,Registro!$B$2:$B$301,IF($B$4=0,"&gt;0",$B$4),Registro!$C$2:$C$301,A55),"Sin datos"))</f>
        <v/>
      </c>
      <c r="C55" s="41" t="str">
        <f aca="false">IF(OR(A55="",NOT(ISNUMBER(B55))),"",IF(B55&gt;=Parámetros!$B$13,"Verde",IF(B55&gt;=Parámetros!$B$14,"Amarillo","Rojo")))</f>
        <v/>
      </c>
    </row>
    <row r="56" customFormat="false" ht="15" hidden="false" customHeight="false" outlineLevel="0" collapsed="false">
      <c r="A56" s="46"/>
      <c r="B56" s="47" t="str">
        <f aca="false">IF(A56="","",IFERROR(AVERAGEIFS(Registro!$AK$2:$AK$301,Registro!$A$2:$A$301,$B$3,Registro!$B$2:$B$301,IF($B$4=0,"&gt;0",$B$4),Registro!$C$2:$C$301,A56),"Sin datos"))</f>
        <v/>
      </c>
      <c r="C56" s="41" t="str">
        <f aca="false">IF(OR(A56="",NOT(ISNUMBER(B56))),"",IF(B56&gt;=Parámetros!$B$13,"Verde",IF(B56&gt;=Parámetros!$B$14,"Amarillo","Rojo")))</f>
        <v/>
      </c>
    </row>
    <row r="57" customFormat="false" ht="15" hidden="false" customHeight="false" outlineLevel="0" collapsed="false">
      <c r="A57" s="46"/>
      <c r="B57" s="47" t="str">
        <f aca="false">IF(A57="","",IFERROR(AVERAGEIFS(Registro!$AK$2:$AK$301,Registro!$A$2:$A$301,$B$3,Registro!$B$2:$B$301,IF($B$4=0,"&gt;0",$B$4),Registro!$C$2:$C$301,A57),"Sin datos"))</f>
        <v/>
      </c>
      <c r="C57" s="41" t="str">
        <f aca="false">IF(OR(A57="",NOT(ISNUMBER(B57))),"",IF(B57&gt;=Parámetros!$B$13,"Verde",IF(B57&gt;=Parámetros!$B$14,"Amarillo","Rojo")))</f>
        <v/>
      </c>
    </row>
    <row r="58" customFormat="false" ht="15" hidden="false" customHeight="false" outlineLevel="0" collapsed="false">
      <c r="A58" s="46"/>
      <c r="B58" s="47" t="str">
        <f aca="false">IF(A58="","",IFERROR(AVERAGEIFS(Registro!$AK$2:$AK$301,Registro!$A$2:$A$301,$B$3,Registro!$B$2:$B$301,IF($B$4=0,"&gt;0",$B$4),Registro!$C$2:$C$301,A58),"Sin datos"))</f>
        <v/>
      </c>
      <c r="C58" s="41" t="str">
        <f aca="false">IF(OR(A58="",NOT(ISNUMBER(B58))),"",IF(B58&gt;=Parámetros!$B$13,"Verde",IF(B58&gt;=Parámetros!$B$14,"Amarillo","Rojo")))</f>
        <v/>
      </c>
    </row>
    <row r="59" customFormat="false" ht="15" hidden="false" customHeight="false" outlineLevel="0" collapsed="false">
      <c r="A59" s="46"/>
      <c r="B59" s="47" t="str">
        <f aca="false">IF(A59="","",IFERROR(AVERAGEIFS(Registro!$AK$2:$AK$301,Registro!$A$2:$A$301,$B$3,Registro!$B$2:$B$301,IF($B$4=0,"&gt;0",$B$4),Registro!$C$2:$C$301,A59),"Sin datos"))</f>
        <v/>
      </c>
      <c r="C59" s="41" t="str">
        <f aca="false">IF(OR(A59="",NOT(ISNUMBER(B59))),"",IF(B59&gt;=Parámetros!$B$13,"Verde",IF(B59&gt;=Parámetros!$B$14,"Amarillo","Rojo")))</f>
        <v/>
      </c>
    </row>
    <row r="60" customFormat="false" ht="15" hidden="false" customHeight="false" outlineLevel="0" collapsed="false">
      <c r="A60" s="46"/>
      <c r="B60" s="47" t="str">
        <f aca="false">IF(A60="","",IFERROR(AVERAGEIFS(Registro!$AK$2:$AK$301,Registro!$A$2:$A$301,$B$3,Registro!$B$2:$B$301,IF($B$4=0,"&gt;0",$B$4),Registro!$C$2:$C$301,A60),"Sin datos"))</f>
        <v/>
      </c>
      <c r="C60" s="41" t="str">
        <f aca="false">IF(OR(A60="",NOT(ISNUMBER(B60))),"",IF(B60&gt;=Parámetros!$B$13,"Verde",IF(B60&gt;=Parámetros!$B$14,"Amarillo","Rojo")))</f>
        <v/>
      </c>
    </row>
    <row r="61" customFormat="false" ht="15" hidden="false" customHeight="false" outlineLevel="0" collapsed="false">
      <c r="A61" s="46"/>
      <c r="B61" s="47" t="str">
        <f aca="false">IF(A61="","",IFERROR(AVERAGEIFS(Registro!$AK$2:$AK$301,Registro!$A$2:$A$301,$B$3,Registro!$B$2:$B$301,IF($B$4=0,"&gt;0",$B$4),Registro!$C$2:$C$301,A61),"Sin datos"))</f>
        <v/>
      </c>
      <c r="C61" s="41" t="str">
        <f aca="false">IF(OR(A61="",NOT(ISNUMBER(B61))),"",IF(B61&gt;=Parámetros!$B$13,"Verde",IF(B61&gt;=Parámetros!$B$14,"Amarillo","Rojo")))</f>
        <v/>
      </c>
    </row>
    <row r="62" customFormat="false" ht="15" hidden="false" customHeight="false" outlineLevel="0" collapsed="false">
      <c r="A62" s="46"/>
      <c r="B62" s="47" t="str">
        <f aca="false">IF(A62="","",IFERROR(AVERAGEIFS(Registro!$AK$2:$AK$301,Registro!$A$2:$A$301,$B$3,Registro!$B$2:$B$301,IF($B$4=0,"&gt;0",$B$4),Registro!$C$2:$C$301,A62),"Sin datos"))</f>
        <v/>
      </c>
      <c r="C62" s="41" t="str">
        <f aca="false">IF(OR(A62="",NOT(ISNUMBER(B62))),"",IF(B62&gt;=Parámetros!$B$13,"Verde",IF(B62&gt;=Parámetros!$B$14,"Amarillo","Rojo")))</f>
        <v/>
      </c>
    </row>
    <row r="63" customFormat="false" ht="15" hidden="false" customHeight="false" outlineLevel="0" collapsed="false">
      <c r="A63" s="46"/>
      <c r="B63" s="47" t="str">
        <f aca="false">IF(A63="","",IFERROR(AVERAGEIFS(Registro!$AK$2:$AK$301,Registro!$A$2:$A$301,$B$3,Registro!$B$2:$B$301,IF($B$4=0,"&gt;0",$B$4),Registro!$C$2:$C$301,A63),"Sin datos"))</f>
        <v/>
      </c>
      <c r="C63" s="41" t="str">
        <f aca="false">IF(OR(A63="",NOT(ISNUMBER(B63))),"",IF(B63&gt;=Parámetros!$B$13,"Verde",IF(B63&gt;=Parámetros!$B$14,"Amarillo","Rojo")))</f>
        <v/>
      </c>
    </row>
    <row r="64" customFormat="false" ht="15" hidden="false" customHeight="false" outlineLevel="0" collapsed="false">
      <c r="A64" s="46"/>
      <c r="B64" s="47" t="str">
        <f aca="false">IF(A64="","",IFERROR(AVERAGEIFS(Registro!$AK$2:$AK$301,Registro!$A$2:$A$301,$B$3,Registro!$B$2:$B$301,IF($B$4=0,"&gt;0",$B$4),Registro!$C$2:$C$301,A64),"Sin datos"))</f>
        <v/>
      </c>
      <c r="C64" s="41" t="str">
        <f aca="false">IF(OR(A64="",NOT(ISNUMBER(B64))),"",IF(B64&gt;=Parámetros!$B$13,"Verde",IF(B64&gt;=Parámetros!$B$14,"Amarillo","Rojo")))</f>
        <v/>
      </c>
    </row>
    <row r="65" customFormat="false" ht="15" hidden="false" customHeight="false" outlineLevel="0" collapsed="false">
      <c r="A65" s="46"/>
      <c r="B65" s="47" t="str">
        <f aca="false">IF(A65="","",IFERROR(AVERAGEIFS(Registro!$AK$2:$AK$301,Registro!$A$2:$A$301,$B$3,Registro!$B$2:$B$301,IF($B$4=0,"&gt;0",$B$4),Registro!$C$2:$C$301,A65),"Sin datos"))</f>
        <v/>
      </c>
      <c r="C65" s="41" t="str">
        <f aca="false">IF(OR(A65="",NOT(ISNUMBER(B65))),"",IF(B65&gt;=Parámetros!$B$13,"Verde",IF(B65&gt;=Parámetros!$B$14,"Amarillo","Rojo")))</f>
        <v/>
      </c>
    </row>
  </sheetData>
  <conditionalFormatting sqref="C26:C65">
    <cfRule type="expression" priority="2" aboveAverage="0" equalAverage="0" bottom="0" percent="0" rank="0" text="" dxfId="3">
      <formula>$C26="Verde"</formula>
    </cfRule>
    <cfRule type="expression" priority="3" aboveAverage="0" equalAverage="0" bottom="0" percent="0" rank="0" text="" dxfId="4">
      <formula>$C26="Amarillo"</formula>
    </cfRule>
    <cfRule type="expression" priority="4" aboveAverage="0" equalAverage="0" bottom="0" percent="0" rank="0" text="" dxfId="5">
      <formula>$C26="Rojo"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48" t="s">
        <v>171</v>
      </c>
    </row>
    <row r="2" customFormat="false" ht="15" hidden="false" customHeight="false" outlineLevel="0" collapsed="false">
      <c r="A2" s="57" t="s">
        <v>172</v>
      </c>
    </row>
    <row r="4" customFormat="false" ht="54" hidden="false" customHeight="true" outlineLevel="0" collapsed="false">
      <c r="A4" s="40" t="s">
        <v>173</v>
      </c>
      <c r="B4" s="40" t="s">
        <v>174</v>
      </c>
      <c r="C4" s="40" t="s">
        <v>175</v>
      </c>
      <c r="D4" s="40" t="s">
        <v>176</v>
      </c>
      <c r="E4" s="40" t="s">
        <v>177</v>
      </c>
      <c r="F4" s="40" t="s">
        <v>178</v>
      </c>
      <c r="G4" s="40" t="s">
        <v>179</v>
      </c>
      <c r="H4" s="40" t="s">
        <v>180</v>
      </c>
    </row>
    <row r="5" customFormat="false" ht="15" hidden="false" customHeight="false" outlineLevel="0" collapsed="false">
      <c r="A5" s="49" t="s">
        <v>161</v>
      </c>
      <c r="B5" s="47" t="n">
        <f aca="false">IFERROR(AVERAGEIFS(Registro!$AK$2:$AK$301,Registro!$A$2:$A$301,VALUE(B$4)),"")</f>
        <v>77.5514638285421</v>
      </c>
      <c r="C5" s="47" t="n">
        <f aca="false">IFERROR(AVERAGEIFS(Registro!$AK$2:$AK$301,Registro!$A$2:$A$301,VALUE(C$4)),"")</f>
        <v>82.6073176119169</v>
      </c>
      <c r="D5" s="47" t="str">
        <f aca="false">IFERROR(AVERAGEIFS(Registro!$AK$2:$AK$301,Registro!$A$2:$A$301,VALUE(D$4)),"")</f>
        <v/>
      </c>
      <c r="E5" s="47" t="str">
        <f aca="false">IFERROR(AVERAGEIFS(Registro!$AK$2:$AK$301,Registro!$A$2:$A$301,VALUE(E$4)),"")</f>
        <v/>
      </c>
      <c r="F5" s="47" t="str">
        <f aca="false">IFERROR(AVERAGEIFS(Registro!$AK$2:$AK$301,Registro!$A$2:$A$301,VALUE(F$4)),"")</f>
        <v/>
      </c>
      <c r="G5" s="58" t="n">
        <f aca="false">IFERROR(LOOKUP(2,1/ISNUMBER(B5:F5),B5:F5)-INDEX(B5:F5,MATCH(2,1/ISNUMBER(B5:F5))-1),"")</f>
        <v>5.05585378337482</v>
      </c>
      <c r="H5" s="41" t="str">
        <f aca="false">IF(G5="","—",IF(G5&gt;=5,"↑ mejora",IF(G5&lt;=-5,"↓ retroceso","= estable")))</f>
        <v>↑ mejora</v>
      </c>
    </row>
    <row r="6" customFormat="false" ht="15" hidden="false" customHeight="false" outlineLevel="0" collapsed="false">
      <c r="A6" s="53" t="s">
        <v>68</v>
      </c>
      <c r="B6" s="47" t="n">
        <f aca="false">IFERROR(AVERAGEIFS(Registro!$X$2:$X$301,Registro!$A$2:$A$301,VALUE(B$4)),"")</f>
        <v>82.5</v>
      </c>
      <c r="C6" s="47" t="n">
        <f aca="false">IFERROR(AVERAGEIFS(Registro!$X$2:$X$301,Registro!$A$2:$A$301,VALUE(C$4)),"")</f>
        <v>88.75</v>
      </c>
      <c r="D6" s="47" t="str">
        <f aca="false">IFERROR(AVERAGEIFS(Registro!$X$2:$X$301,Registro!$A$2:$A$301,VALUE(D$4)),"")</f>
        <v/>
      </c>
      <c r="E6" s="47" t="str">
        <f aca="false">IFERROR(AVERAGEIFS(Registro!$X$2:$X$301,Registro!$A$2:$A$301,VALUE(E$4)),"")</f>
        <v/>
      </c>
      <c r="F6" s="47" t="str">
        <f aca="false">IFERROR(AVERAGEIFS(Registro!$X$2:$X$301,Registro!$A$2:$A$301,VALUE(F$4)),"")</f>
        <v/>
      </c>
      <c r="G6" s="58" t="n">
        <f aca="false">IFERROR(LOOKUP(2,1/ISNUMBER(B6:F6),B6:F6)-INDEX(B6:F6,MATCH(2,1/ISNUMBER(B6:F6))-1),"")</f>
        <v>6.25</v>
      </c>
      <c r="H6" s="41" t="str">
        <f aca="false">IF(G6="","—",IF(G6&gt;=5,"↑ mejora",IF(G6&lt;=-5,"↓ retroceso","= estable")))</f>
        <v>↑ mejora</v>
      </c>
    </row>
    <row r="7" customFormat="false" ht="15" hidden="false" customHeight="false" outlineLevel="0" collapsed="false">
      <c r="A7" s="53" t="s">
        <v>70</v>
      </c>
      <c r="B7" s="47" t="n">
        <f aca="false">IFERROR(AVERAGEIFS(Registro!$Y$2:$Y$301,Registro!$A$2:$A$301,VALUE(B$4)),"")</f>
        <v>88.125</v>
      </c>
      <c r="C7" s="47" t="n">
        <f aca="false">IFERROR(AVERAGEIFS(Registro!$Y$2:$Y$301,Registro!$A$2:$A$301,VALUE(C$4)),"")</f>
        <v>91.25</v>
      </c>
      <c r="D7" s="47" t="str">
        <f aca="false">IFERROR(AVERAGEIFS(Registro!$Y$2:$Y$301,Registro!$A$2:$A$301,VALUE(D$4)),"")</f>
        <v/>
      </c>
      <c r="E7" s="47" t="str">
        <f aca="false">IFERROR(AVERAGEIFS(Registro!$Y$2:$Y$301,Registro!$A$2:$A$301,VALUE(E$4)),"")</f>
        <v/>
      </c>
      <c r="F7" s="47" t="str">
        <f aca="false">IFERROR(AVERAGEIFS(Registro!$Y$2:$Y$301,Registro!$A$2:$A$301,VALUE(F$4)),"")</f>
        <v/>
      </c>
      <c r="G7" s="58" t="n">
        <f aca="false">IFERROR(LOOKUP(2,1/ISNUMBER(B7:F7),B7:F7)-INDEX(B7:F7,MATCH(2,1/ISNUMBER(B7:F7))-1),"")</f>
        <v>3.125</v>
      </c>
      <c r="H7" s="41" t="str">
        <f aca="false">IF(G7="","—",IF(G7&gt;=5,"↑ mejora",IF(G7&lt;=-5,"↓ retroceso","= estable")))</f>
        <v>= estable</v>
      </c>
    </row>
    <row r="8" customFormat="false" ht="15" hidden="false" customHeight="false" outlineLevel="0" collapsed="false">
      <c r="A8" s="53" t="s">
        <v>72</v>
      </c>
      <c r="B8" s="47" t="n">
        <f aca="false">IFERROR(AVERAGEIFS(Registro!$Z$2:$Z$301,Registro!$A$2:$A$301,VALUE(B$4)),"")</f>
        <v>84.375</v>
      </c>
      <c r="C8" s="47" t="n">
        <f aca="false">IFERROR(AVERAGEIFS(Registro!$Z$2:$Z$301,Registro!$A$2:$A$301,VALUE(C$4)),"")</f>
        <v>89.5833333333333</v>
      </c>
      <c r="D8" s="47" t="str">
        <f aca="false">IFERROR(AVERAGEIFS(Registro!$Z$2:$Z$301,Registro!$A$2:$A$301,VALUE(D$4)),"")</f>
        <v/>
      </c>
      <c r="E8" s="47" t="str">
        <f aca="false">IFERROR(AVERAGEIFS(Registro!$Z$2:$Z$301,Registro!$A$2:$A$301,VALUE(E$4)),"")</f>
        <v/>
      </c>
      <c r="F8" s="47" t="str">
        <f aca="false">IFERROR(AVERAGEIFS(Registro!$Z$2:$Z$301,Registro!$A$2:$A$301,VALUE(F$4)),"")</f>
        <v/>
      </c>
      <c r="G8" s="58" t="n">
        <f aca="false">IFERROR(LOOKUP(2,1/ISNUMBER(B8:F8),B8:F8)-INDEX(B8:F8,MATCH(2,1/ISNUMBER(B8:F8))-1),"")</f>
        <v>5.20833333333334</v>
      </c>
      <c r="H8" s="41" t="str">
        <f aca="false">IF(G8="","—",IF(G8&gt;=5,"↑ mejora",IF(G8&lt;=-5,"↓ retroceso","= estable")))</f>
        <v>↑ mejora</v>
      </c>
    </row>
    <row r="9" customFormat="false" ht="15" hidden="false" customHeight="false" outlineLevel="0" collapsed="false">
      <c r="A9" s="53" t="s">
        <v>74</v>
      </c>
      <c r="B9" s="47" t="n">
        <f aca="false">IFERROR(AVERAGEIFS(Registro!$AA$2:$AA$301,Registro!$A$2:$A$301,VALUE(B$4)),"")</f>
        <v>73.4375</v>
      </c>
      <c r="C9" s="47" t="n">
        <f aca="false">IFERROR(AVERAGEIFS(Registro!$AA$2:$AA$301,Registro!$A$2:$A$301,VALUE(C$4)),"")</f>
        <v>80.2083333333333</v>
      </c>
      <c r="D9" s="47" t="str">
        <f aca="false">IFERROR(AVERAGEIFS(Registro!$AA$2:$AA$301,Registro!$A$2:$A$301,VALUE(D$4)),"")</f>
        <v/>
      </c>
      <c r="E9" s="47" t="str">
        <f aca="false">IFERROR(AVERAGEIFS(Registro!$AA$2:$AA$301,Registro!$A$2:$A$301,VALUE(E$4)),"")</f>
        <v/>
      </c>
      <c r="F9" s="47" t="str">
        <f aca="false">IFERROR(AVERAGEIFS(Registro!$AA$2:$AA$301,Registro!$A$2:$A$301,VALUE(F$4)),"")</f>
        <v/>
      </c>
      <c r="G9" s="58" t="n">
        <f aca="false">IFERROR(LOOKUP(2,1/ISNUMBER(B9:F9),B9:F9)-INDEX(B9:F9,MATCH(2,1/ISNUMBER(B9:F9))-1),"")</f>
        <v>6.77083333333333</v>
      </c>
      <c r="H9" s="41" t="str">
        <f aca="false">IF(G9="","—",IF(G9&gt;=5,"↑ mejora",IF(G9&lt;=-5,"↓ retroceso","= estable")))</f>
        <v>↑ mejora</v>
      </c>
    </row>
    <row r="10" customFormat="false" ht="15" hidden="false" customHeight="false" outlineLevel="0" collapsed="false">
      <c r="A10" s="53" t="s">
        <v>76</v>
      </c>
      <c r="B10" s="47" t="n">
        <f aca="false">IFERROR(AVERAGEIFS(Registro!$AB$2:$AB$301,Registro!$A$2:$A$301,VALUE(B$4)),"")</f>
        <v>74.1666666666667</v>
      </c>
      <c r="C10" s="47" t="n">
        <f aca="false">IFERROR(AVERAGEIFS(Registro!$AB$2:$AB$301,Registro!$A$2:$A$301,VALUE(C$4)),"")</f>
        <v>79.5833333333333</v>
      </c>
      <c r="D10" s="47" t="str">
        <f aca="false">IFERROR(AVERAGEIFS(Registro!$AB$2:$AB$301,Registro!$A$2:$A$301,VALUE(D$4)),"")</f>
        <v/>
      </c>
      <c r="E10" s="47" t="str">
        <f aca="false">IFERROR(AVERAGEIFS(Registro!$AB$2:$AB$301,Registro!$A$2:$A$301,VALUE(E$4)),"")</f>
        <v/>
      </c>
      <c r="F10" s="47" t="str">
        <f aca="false">IFERROR(AVERAGEIFS(Registro!$AB$2:$AB$301,Registro!$A$2:$A$301,VALUE(F$4)),"")</f>
        <v/>
      </c>
      <c r="G10" s="58" t="n">
        <f aca="false">IFERROR(LOOKUP(2,1/ISNUMBER(B10:F10),B10:F10)-INDEX(B10:F10,MATCH(2,1/ISNUMBER(B10:F10))-1),"")</f>
        <v>5.41666666666666</v>
      </c>
      <c r="H10" s="41" t="str">
        <f aca="false">IF(G10="","—",IF(G10&gt;=5,"↑ mejora",IF(G10&lt;=-5,"↓ retroceso","= estable")))</f>
        <v>↑ mejora</v>
      </c>
    </row>
    <row r="11" customFormat="false" ht="15" hidden="false" customHeight="false" outlineLevel="0" collapsed="false">
      <c r="A11" s="53" t="s">
        <v>78</v>
      </c>
      <c r="B11" s="47" t="n">
        <f aca="false">IFERROR(AVERAGEIFS(Registro!$AC$2:$AC$301,Registro!$A$2:$A$301,VALUE(B$4)),"")</f>
        <v>73.125</v>
      </c>
      <c r="C11" s="47" t="n">
        <f aca="false">IFERROR(AVERAGEIFS(Registro!$AC$2:$AC$301,Registro!$A$2:$A$301,VALUE(C$4)),"")</f>
        <v>77.8125</v>
      </c>
      <c r="D11" s="47" t="str">
        <f aca="false">IFERROR(AVERAGEIFS(Registro!$AC$2:$AC$301,Registro!$A$2:$A$301,VALUE(D$4)),"")</f>
        <v/>
      </c>
      <c r="E11" s="47" t="str">
        <f aca="false">IFERROR(AVERAGEIFS(Registro!$AC$2:$AC$301,Registro!$A$2:$A$301,VALUE(E$4)),"")</f>
        <v/>
      </c>
      <c r="F11" s="47" t="str">
        <f aca="false">IFERROR(AVERAGEIFS(Registro!$AC$2:$AC$301,Registro!$A$2:$A$301,VALUE(F$4)),"")</f>
        <v/>
      </c>
      <c r="G11" s="58" t="n">
        <f aca="false">IFERROR(LOOKUP(2,1/ISNUMBER(B11:F11),B11:F11)-INDEX(B11:F11,MATCH(2,1/ISNUMBER(B11:F11))-1),"")</f>
        <v>4.6875</v>
      </c>
      <c r="H11" s="41" t="str">
        <f aca="false">IF(G11="","—",IF(G11&gt;=5,"↑ mejora",IF(G11&lt;=-5,"↓ retroceso","= estable")))</f>
        <v>= estable</v>
      </c>
    </row>
    <row r="12" customFormat="false" ht="15" hidden="false" customHeight="false" outlineLevel="0" collapsed="false">
      <c r="A12" s="53" t="s">
        <v>80</v>
      </c>
      <c r="B12" s="47" t="n">
        <f aca="false">IFERROR(AVERAGEIFS(Registro!$AD$2:$AD$301,Registro!$A$2:$A$301,VALUE(B$4)),"")</f>
        <v>71.1546988933915</v>
      </c>
      <c r="C12" s="47" t="n">
        <f aca="false">IFERROR(AVERAGEIFS(Registro!$AD$2:$AD$301,Registro!$A$2:$A$301,VALUE(C$4)),"")</f>
        <v>76.8745592025582</v>
      </c>
      <c r="D12" s="47" t="str">
        <f aca="false">IFERROR(AVERAGEIFS(Registro!$AD$2:$AD$301,Registro!$A$2:$A$301,VALUE(D$4)),"")</f>
        <v/>
      </c>
      <c r="E12" s="47" t="str">
        <f aca="false">IFERROR(AVERAGEIFS(Registro!$AD$2:$AD$301,Registro!$A$2:$A$301,VALUE(E$4)),"")</f>
        <v/>
      </c>
      <c r="F12" s="47" t="str">
        <f aca="false">IFERROR(AVERAGEIFS(Registro!$AD$2:$AD$301,Registro!$A$2:$A$301,VALUE(F$4)),"")</f>
        <v/>
      </c>
      <c r="G12" s="58" t="n">
        <f aca="false">IFERROR(LOOKUP(2,1/ISNUMBER(B12:F12),B12:F12)-INDEX(B12:F12,MATCH(2,1/ISNUMBER(B12:F12))-1),"")</f>
        <v>5.71986030916666</v>
      </c>
      <c r="H12" s="41" t="str">
        <f aca="false">IF(G12="","—",IF(G12&gt;=5,"↑ mejora",IF(G12&lt;=-5,"↓ retroceso","= estable")))</f>
        <v>↑ mejora</v>
      </c>
    </row>
    <row r="13" customFormat="false" ht="15" hidden="false" customHeight="false" outlineLevel="0" collapsed="false">
      <c r="A13" s="53" t="s">
        <v>82</v>
      </c>
      <c r="B13" s="47" t="n">
        <f aca="false">IFERROR(AVERAGEIFS(Registro!$AE$2:$AE$301,Registro!$A$2:$A$301,VALUE(B$4)),"")</f>
        <v>94.4444444444445</v>
      </c>
      <c r="C13" s="47" t="n">
        <f aca="false">IFERROR(AVERAGEIFS(Registro!$AE$2:$AE$301,Registro!$A$2:$A$301,VALUE(C$4)),"")</f>
        <v>100</v>
      </c>
      <c r="D13" s="47" t="str">
        <f aca="false">IFERROR(AVERAGEIFS(Registro!$AE$2:$AE$301,Registro!$A$2:$A$301,VALUE(D$4)),"")</f>
        <v/>
      </c>
      <c r="E13" s="47" t="str">
        <f aca="false">IFERROR(AVERAGEIFS(Registro!$AE$2:$AE$301,Registro!$A$2:$A$301,VALUE(E$4)),"")</f>
        <v/>
      </c>
      <c r="F13" s="47" t="str">
        <f aca="false">IFERROR(AVERAGEIFS(Registro!$AE$2:$AE$301,Registro!$A$2:$A$301,VALUE(F$4)),"")</f>
        <v/>
      </c>
      <c r="G13" s="58" t="n">
        <f aca="false">IFERROR(LOOKUP(2,1/ISNUMBER(B13:F13),B13:F13)-INDEX(B13:F13,MATCH(2,1/ISNUMBER(B13:F13))-1),"")</f>
        <v>5.55555555555554</v>
      </c>
      <c r="H13" s="41" t="str">
        <f aca="false">IF(G13="","—",IF(G13&gt;=5,"↑ mejora",IF(G13&lt;=-5,"↓ retroceso","= estable")))</f>
        <v>↑ mejora</v>
      </c>
    </row>
    <row r="14" customFormat="false" ht="15" hidden="false" customHeight="false" outlineLevel="0" collapsed="false">
      <c r="A14" s="53" t="s">
        <v>84</v>
      </c>
      <c r="B14" s="47" t="n">
        <f aca="false">IFERROR(AVERAGEIFS(Registro!$AF$2:$AF$301,Registro!$A$2:$A$301,VALUE(B$4)),"")</f>
        <v>85</v>
      </c>
      <c r="C14" s="47" t="n">
        <f aca="false">IFERROR(AVERAGEIFS(Registro!$AF$2:$AF$301,Registro!$A$2:$A$301,VALUE(C$4)),"")</f>
        <v>87.5</v>
      </c>
      <c r="D14" s="47" t="str">
        <f aca="false">IFERROR(AVERAGEIFS(Registro!$AF$2:$AF$301,Registro!$A$2:$A$301,VALUE(D$4)),"")</f>
        <v/>
      </c>
      <c r="E14" s="47" t="str">
        <f aca="false">IFERROR(AVERAGEIFS(Registro!$AF$2:$AF$301,Registro!$A$2:$A$301,VALUE(E$4)),"")</f>
        <v/>
      </c>
      <c r="F14" s="47" t="str">
        <f aca="false">IFERROR(AVERAGEIFS(Registro!$AF$2:$AF$301,Registro!$A$2:$A$301,VALUE(F$4)),"")</f>
        <v/>
      </c>
      <c r="G14" s="58" t="n">
        <f aca="false">IFERROR(LOOKUP(2,1/ISNUMBER(B14:F14),B14:F14)-INDEX(B14:F14,MATCH(2,1/ISNUMBER(B14:F14))-1),"")</f>
        <v>2.5</v>
      </c>
      <c r="H14" s="41" t="str">
        <f aca="false">IF(G14="","—",IF(G14&gt;=5,"↑ mejora",IF(G14&lt;=-5,"↓ retroceso","= estable")))</f>
        <v>= estable</v>
      </c>
    </row>
    <row r="15" customFormat="false" ht="15" hidden="false" customHeight="false" outlineLevel="0" collapsed="false">
      <c r="A15" s="53" t="s">
        <v>86</v>
      </c>
      <c r="B15" s="47" t="n">
        <f aca="false">IFERROR(AVERAGEIFS(Registro!$AG$2:$AG$301,Registro!$A$2:$A$301,VALUE(B$4)),"")</f>
        <v>80.625</v>
      </c>
      <c r="C15" s="47" t="n">
        <f aca="false">IFERROR(AVERAGEIFS(Registro!$AG$2:$AG$301,Registro!$A$2:$A$301,VALUE(C$4)),"")</f>
        <v>83.75</v>
      </c>
      <c r="D15" s="47" t="str">
        <f aca="false">IFERROR(AVERAGEIFS(Registro!$AG$2:$AG$301,Registro!$A$2:$A$301,VALUE(D$4)),"")</f>
        <v/>
      </c>
      <c r="E15" s="47" t="str">
        <f aca="false">IFERROR(AVERAGEIFS(Registro!$AG$2:$AG$301,Registro!$A$2:$A$301,VALUE(E$4)),"")</f>
        <v/>
      </c>
      <c r="F15" s="47" t="str">
        <f aca="false">IFERROR(AVERAGEIFS(Registro!$AG$2:$AG$301,Registro!$A$2:$A$301,VALUE(F$4)),"")</f>
        <v/>
      </c>
      <c r="G15" s="58" t="n">
        <f aca="false">IFERROR(LOOKUP(2,1/ISNUMBER(B15:F15),B15:F15)-INDEX(B15:F15,MATCH(2,1/ISNUMBER(B15:F15))-1),"")</f>
        <v>3.125</v>
      </c>
      <c r="H15" s="41" t="str">
        <f aca="false">IF(G15="","—",IF(G15&gt;=5,"↑ mejora",IF(G15&lt;=-5,"↓ retroceso","= estable")))</f>
        <v>= estable</v>
      </c>
    </row>
    <row r="17" customFormat="false" ht="15" hidden="false" customHeight="false" outlineLevel="0" collapsed="false">
      <c r="A17" s="53" t="s">
        <v>181</v>
      </c>
      <c r="B17" s="53" t="n">
        <f aca="false">COUNTIFS(Registro!$A$2:$A$301,VALUE(B$4),Registro!$AL$2:$AL$301,"Rojo")</f>
        <v>3</v>
      </c>
      <c r="C17" s="53" t="n">
        <f aca="false">COUNTIFS(Registro!$A$2:$A$301,VALUE(C$4),Registro!$AL$2:$AL$301,"Rojo")</f>
        <v>1</v>
      </c>
      <c r="D17" s="53" t="n">
        <f aca="false">COUNTIFS(Registro!$A$2:$A$301,VALUE(D$4),Registro!$AL$2:$AL$301,"Rojo")</f>
        <v>0</v>
      </c>
      <c r="E17" s="53" t="n">
        <f aca="false">COUNTIFS(Registro!$A$2:$A$301,VALUE(E$4),Registro!$AL$2:$AL$301,"Rojo")</f>
        <v>0</v>
      </c>
      <c r="F17" s="53" t="n">
        <f aca="false">COUNTIFS(Registro!$A$2:$A$301,VALUE(F$4),Registro!$AL$2:$AL$301,"Rojo")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45"/>
    <col collapsed="false" customWidth="true" hidden="false" outlineLevel="0" max="7" min="7" style="0" width="12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54" hidden="false" customHeight="true" outlineLevel="0" collapsed="false">
      <c r="A1" s="40" t="s">
        <v>36</v>
      </c>
      <c r="B1" s="40" t="s">
        <v>173</v>
      </c>
      <c r="C1" s="40" t="s">
        <v>182</v>
      </c>
      <c r="D1" s="40" t="s">
        <v>183</v>
      </c>
      <c r="E1" s="40" t="s">
        <v>184</v>
      </c>
      <c r="F1" s="40" t="s">
        <v>185</v>
      </c>
      <c r="G1" s="40" t="s">
        <v>186</v>
      </c>
      <c r="H1" s="40" t="s">
        <v>187</v>
      </c>
      <c r="I1" s="40" t="s">
        <v>188</v>
      </c>
      <c r="J1" s="40" t="s">
        <v>189</v>
      </c>
    </row>
    <row r="2" customFormat="false" ht="23.85" hidden="false" customHeight="false" outlineLevel="0" collapsed="false">
      <c r="A2" s="59" t="n">
        <v>2027</v>
      </c>
      <c r="B2" s="59" t="s">
        <v>190</v>
      </c>
      <c r="C2" s="59" t="n">
        <v>90</v>
      </c>
      <c r="D2" s="59" t="n">
        <v>84</v>
      </c>
      <c r="E2" s="60" t="n">
        <f aca="false">IF(OR(C2="",D2=""),"",D2-C2)</f>
        <v>-6</v>
      </c>
      <c r="F2" s="59" t="s">
        <v>191</v>
      </c>
      <c r="G2" s="59" t="s">
        <v>192</v>
      </c>
      <c r="H2" s="59" t="s">
        <v>193</v>
      </c>
      <c r="I2" s="59" t="s">
        <v>194</v>
      </c>
      <c r="J2" s="59" t="s">
        <v>195</v>
      </c>
    </row>
    <row r="3" customFormat="false" ht="15" hidden="false" customHeight="false" outlineLevel="0" collapsed="false">
      <c r="A3" s="59"/>
      <c r="B3" s="59"/>
      <c r="C3" s="59"/>
      <c r="D3" s="59"/>
      <c r="E3" s="60" t="str">
        <f aca="false">IF(OR(C3="",D3=""),"",D3-C3)</f>
        <v/>
      </c>
      <c r="F3" s="59"/>
      <c r="G3" s="59"/>
      <c r="H3" s="59"/>
      <c r="I3" s="59"/>
      <c r="J3" s="59"/>
    </row>
    <row r="4" customFormat="false" ht="15" hidden="false" customHeight="false" outlineLevel="0" collapsed="false">
      <c r="A4" s="59"/>
      <c r="B4" s="59"/>
      <c r="C4" s="59"/>
      <c r="D4" s="59"/>
      <c r="E4" s="60" t="str">
        <f aca="false">IF(OR(C4="",D4=""),"",D4-C4)</f>
        <v/>
      </c>
      <c r="F4" s="59"/>
      <c r="G4" s="59"/>
      <c r="H4" s="59"/>
      <c r="I4" s="59"/>
      <c r="J4" s="59"/>
    </row>
    <row r="5" customFormat="false" ht="15" hidden="false" customHeight="false" outlineLevel="0" collapsed="false">
      <c r="A5" s="59"/>
      <c r="B5" s="59"/>
      <c r="C5" s="59"/>
      <c r="D5" s="59"/>
      <c r="E5" s="60" t="str">
        <f aca="false">IF(OR(C5="",D5=""),"",D5-C5)</f>
        <v/>
      </c>
      <c r="F5" s="59"/>
      <c r="G5" s="59"/>
      <c r="H5" s="59"/>
      <c r="I5" s="59"/>
      <c r="J5" s="59"/>
    </row>
    <row r="6" customFormat="false" ht="15" hidden="false" customHeight="false" outlineLevel="0" collapsed="false">
      <c r="A6" s="59"/>
      <c r="B6" s="59"/>
      <c r="C6" s="59"/>
      <c r="D6" s="59"/>
      <c r="E6" s="60" t="str">
        <f aca="false">IF(OR(C6="",D6=""),"",D6-C6)</f>
        <v/>
      </c>
      <c r="F6" s="59"/>
      <c r="G6" s="59"/>
      <c r="H6" s="59"/>
      <c r="I6" s="59"/>
      <c r="J6" s="59"/>
    </row>
    <row r="7" customFormat="false" ht="15" hidden="false" customHeight="false" outlineLevel="0" collapsed="false">
      <c r="A7" s="59"/>
      <c r="B7" s="59"/>
      <c r="C7" s="59"/>
      <c r="D7" s="59"/>
      <c r="E7" s="60" t="str">
        <f aca="false">IF(OR(C7="",D7=""),"",D7-C7)</f>
        <v/>
      </c>
      <c r="F7" s="59"/>
      <c r="G7" s="59"/>
      <c r="H7" s="59"/>
      <c r="I7" s="59"/>
      <c r="J7" s="59"/>
    </row>
    <row r="8" customFormat="false" ht="15" hidden="false" customHeight="false" outlineLevel="0" collapsed="false">
      <c r="A8" s="59"/>
      <c r="B8" s="59"/>
      <c r="C8" s="59"/>
      <c r="D8" s="59"/>
      <c r="E8" s="60" t="str">
        <f aca="false">IF(OR(C8="",D8=""),"",D8-C8)</f>
        <v/>
      </c>
      <c r="F8" s="59"/>
      <c r="G8" s="59"/>
      <c r="H8" s="59"/>
      <c r="I8" s="59"/>
      <c r="J8" s="59"/>
    </row>
    <row r="9" customFormat="false" ht="15" hidden="false" customHeight="false" outlineLevel="0" collapsed="false">
      <c r="A9" s="59"/>
      <c r="B9" s="59"/>
      <c r="C9" s="59"/>
      <c r="D9" s="59"/>
      <c r="E9" s="60" t="str">
        <f aca="false">IF(OR(C9="",D9=""),"",D9-C9)</f>
        <v/>
      </c>
      <c r="F9" s="59"/>
      <c r="G9" s="59"/>
      <c r="H9" s="59"/>
      <c r="I9" s="59"/>
      <c r="J9" s="59"/>
    </row>
    <row r="10" customFormat="false" ht="15" hidden="false" customHeight="false" outlineLevel="0" collapsed="false">
      <c r="A10" s="59"/>
      <c r="B10" s="59"/>
      <c r="C10" s="59"/>
      <c r="D10" s="59"/>
      <c r="E10" s="60" t="str">
        <f aca="false">IF(OR(C10="",D10=""),"",D10-C10)</f>
        <v/>
      </c>
      <c r="F10" s="59"/>
      <c r="G10" s="59"/>
      <c r="H10" s="59"/>
      <c r="I10" s="59"/>
      <c r="J10" s="59"/>
    </row>
    <row r="11" customFormat="false" ht="15" hidden="false" customHeight="false" outlineLevel="0" collapsed="false">
      <c r="A11" s="59"/>
      <c r="B11" s="59"/>
      <c r="C11" s="59"/>
      <c r="D11" s="59"/>
      <c r="E11" s="60" t="str">
        <f aca="false">IF(OR(C11="",D11=""),"",D11-C11)</f>
        <v/>
      </c>
      <c r="F11" s="59"/>
      <c r="G11" s="59"/>
      <c r="H11" s="59"/>
      <c r="I11" s="59"/>
      <c r="J11" s="59"/>
    </row>
    <row r="12" customFormat="false" ht="15" hidden="false" customHeight="false" outlineLevel="0" collapsed="false">
      <c r="A12" s="59"/>
      <c r="B12" s="59"/>
      <c r="C12" s="59"/>
      <c r="D12" s="59"/>
      <c r="E12" s="60" t="str">
        <f aca="false">IF(OR(C12="",D12=""),"",D12-C12)</f>
        <v/>
      </c>
      <c r="F12" s="59"/>
      <c r="G12" s="59"/>
      <c r="H12" s="59"/>
      <c r="I12" s="59"/>
      <c r="J12" s="59"/>
    </row>
    <row r="13" customFormat="false" ht="15" hidden="false" customHeight="false" outlineLevel="0" collapsed="false">
      <c r="A13" s="59"/>
      <c r="B13" s="59"/>
      <c r="C13" s="59"/>
      <c r="D13" s="59"/>
      <c r="E13" s="60" t="str">
        <f aca="false">IF(OR(C13="",D13=""),"",D13-C13)</f>
        <v/>
      </c>
      <c r="F13" s="59"/>
      <c r="G13" s="59"/>
      <c r="H13" s="59"/>
      <c r="I13" s="59"/>
      <c r="J13" s="59"/>
    </row>
    <row r="14" customFormat="false" ht="15" hidden="false" customHeight="false" outlineLevel="0" collapsed="false">
      <c r="A14" s="59"/>
      <c r="B14" s="59"/>
      <c r="C14" s="59"/>
      <c r="D14" s="59"/>
      <c r="E14" s="60" t="str">
        <f aca="false">IF(OR(C14="",D14=""),"",D14-C14)</f>
        <v/>
      </c>
      <c r="F14" s="59"/>
      <c r="G14" s="59"/>
      <c r="H14" s="59"/>
      <c r="I14" s="59"/>
      <c r="J14" s="59"/>
    </row>
    <row r="15" customFormat="false" ht="15" hidden="false" customHeight="false" outlineLevel="0" collapsed="false">
      <c r="A15" s="59"/>
      <c r="B15" s="59"/>
      <c r="C15" s="59"/>
      <c r="D15" s="59"/>
      <c r="E15" s="60" t="str">
        <f aca="false">IF(OR(C15="",D15=""),"",D15-C15)</f>
        <v/>
      </c>
      <c r="F15" s="59"/>
      <c r="G15" s="59"/>
      <c r="H15" s="59"/>
      <c r="I15" s="59"/>
      <c r="J15" s="59"/>
    </row>
    <row r="16" customFormat="false" ht="15" hidden="false" customHeight="false" outlineLevel="0" collapsed="false">
      <c r="A16" s="59"/>
      <c r="B16" s="59"/>
      <c r="C16" s="59"/>
      <c r="D16" s="59"/>
      <c r="E16" s="60" t="str">
        <f aca="false">IF(OR(C16="",D16=""),"",D16-C16)</f>
        <v/>
      </c>
      <c r="F16" s="59"/>
      <c r="G16" s="59"/>
      <c r="H16" s="59"/>
      <c r="I16" s="59"/>
      <c r="J16" s="59"/>
    </row>
    <row r="17" customFormat="false" ht="15" hidden="false" customHeight="false" outlineLevel="0" collapsed="false">
      <c r="A17" s="59"/>
      <c r="B17" s="59"/>
      <c r="C17" s="59"/>
      <c r="D17" s="59"/>
      <c r="E17" s="60" t="str">
        <f aca="false">IF(OR(C17="",D17=""),"",D17-C17)</f>
        <v/>
      </c>
      <c r="F17" s="59"/>
      <c r="G17" s="59"/>
      <c r="H17" s="59"/>
      <c r="I17" s="59"/>
      <c r="J17" s="59"/>
    </row>
    <row r="18" customFormat="false" ht="15" hidden="false" customHeight="false" outlineLevel="0" collapsed="false">
      <c r="A18" s="59"/>
      <c r="B18" s="59"/>
      <c r="C18" s="59"/>
      <c r="D18" s="59"/>
      <c r="E18" s="60" t="str">
        <f aca="false">IF(OR(C18="",D18=""),"",D18-C18)</f>
        <v/>
      </c>
      <c r="F18" s="59"/>
      <c r="G18" s="59"/>
      <c r="H18" s="59"/>
      <c r="I18" s="59"/>
      <c r="J18" s="59"/>
    </row>
    <row r="19" customFormat="false" ht="15" hidden="false" customHeight="false" outlineLevel="0" collapsed="false">
      <c r="A19" s="59"/>
      <c r="B19" s="59"/>
      <c r="C19" s="59"/>
      <c r="D19" s="59"/>
      <c r="E19" s="60" t="str">
        <f aca="false">IF(OR(C19="",D19=""),"",D19-C19)</f>
        <v/>
      </c>
      <c r="F19" s="59"/>
      <c r="G19" s="59"/>
      <c r="H19" s="59"/>
      <c r="I19" s="59"/>
      <c r="J19" s="59"/>
    </row>
    <row r="20" customFormat="false" ht="15" hidden="false" customHeight="false" outlineLevel="0" collapsed="false">
      <c r="A20" s="59"/>
      <c r="B20" s="59"/>
      <c r="C20" s="59"/>
      <c r="D20" s="59"/>
      <c r="E20" s="60" t="str">
        <f aca="false">IF(OR(C20="",D20=""),"",D20-C20)</f>
        <v/>
      </c>
      <c r="F20" s="59"/>
      <c r="G20" s="59"/>
      <c r="H20" s="59"/>
      <c r="I20" s="59"/>
      <c r="J20" s="59"/>
    </row>
    <row r="21" customFormat="false" ht="15" hidden="false" customHeight="false" outlineLevel="0" collapsed="false">
      <c r="A21" s="59"/>
      <c r="B21" s="59"/>
      <c r="C21" s="59"/>
      <c r="D21" s="59"/>
      <c r="E21" s="60" t="str">
        <f aca="false">IF(OR(C21="",D21=""),"",D21-C21)</f>
        <v/>
      </c>
      <c r="F21" s="59"/>
      <c r="G21" s="59"/>
      <c r="H21" s="59"/>
      <c r="I21" s="59"/>
      <c r="J21" s="59"/>
    </row>
    <row r="22" customFormat="false" ht="15" hidden="false" customHeight="false" outlineLevel="0" collapsed="false">
      <c r="A22" s="59"/>
      <c r="B22" s="59"/>
      <c r="C22" s="59"/>
      <c r="D22" s="59"/>
      <c r="E22" s="60" t="str">
        <f aca="false">IF(OR(C22="",D22=""),"",D22-C22)</f>
        <v/>
      </c>
      <c r="F22" s="59"/>
      <c r="G22" s="59"/>
      <c r="H22" s="59"/>
      <c r="I22" s="59"/>
      <c r="J22" s="59"/>
    </row>
    <row r="23" customFormat="false" ht="15" hidden="false" customHeight="false" outlineLevel="0" collapsed="false">
      <c r="A23" s="59"/>
      <c r="B23" s="59"/>
      <c r="C23" s="59"/>
      <c r="D23" s="59"/>
      <c r="E23" s="60" t="str">
        <f aca="false">IF(OR(C23="",D23=""),"",D23-C23)</f>
        <v/>
      </c>
      <c r="F23" s="59"/>
      <c r="G23" s="59"/>
      <c r="H23" s="59"/>
      <c r="I23" s="59"/>
      <c r="J23" s="59"/>
    </row>
    <row r="24" customFormat="false" ht="15" hidden="false" customHeight="false" outlineLevel="0" collapsed="false">
      <c r="A24" s="59"/>
      <c r="B24" s="59"/>
      <c r="C24" s="59"/>
      <c r="D24" s="59"/>
      <c r="E24" s="60" t="str">
        <f aca="false">IF(OR(C24="",D24=""),"",D24-C24)</f>
        <v/>
      </c>
      <c r="F24" s="59"/>
      <c r="G24" s="59"/>
      <c r="H24" s="59"/>
      <c r="I24" s="59"/>
      <c r="J24" s="59"/>
    </row>
    <row r="25" customFormat="false" ht="15" hidden="false" customHeight="false" outlineLevel="0" collapsed="false">
      <c r="A25" s="59"/>
      <c r="B25" s="59"/>
      <c r="C25" s="59"/>
      <c r="D25" s="59"/>
      <c r="E25" s="60" t="str">
        <f aca="false">IF(OR(C25="",D25=""),"",D25-C25)</f>
        <v/>
      </c>
      <c r="F25" s="59"/>
      <c r="G25" s="59"/>
      <c r="H25" s="59"/>
      <c r="I25" s="59"/>
      <c r="J25" s="59"/>
    </row>
    <row r="26" customFormat="false" ht="15" hidden="false" customHeight="false" outlineLevel="0" collapsed="false">
      <c r="A26" s="59"/>
      <c r="B26" s="59"/>
      <c r="C26" s="59"/>
      <c r="D26" s="59"/>
      <c r="E26" s="60" t="str">
        <f aca="false">IF(OR(C26="",D26=""),"",D26-C26)</f>
        <v/>
      </c>
      <c r="F26" s="59"/>
      <c r="G26" s="59"/>
      <c r="H26" s="59"/>
      <c r="I26" s="59"/>
      <c r="J26" s="59"/>
    </row>
    <row r="27" customFormat="false" ht="15" hidden="false" customHeight="false" outlineLevel="0" collapsed="false">
      <c r="A27" s="59"/>
      <c r="B27" s="59"/>
      <c r="C27" s="59"/>
      <c r="D27" s="59"/>
      <c r="E27" s="60" t="str">
        <f aca="false">IF(OR(C27="",D27=""),"",D27-C27)</f>
        <v/>
      </c>
      <c r="F27" s="59"/>
      <c r="G27" s="59"/>
      <c r="H27" s="59"/>
      <c r="I27" s="59"/>
      <c r="J27" s="59"/>
    </row>
    <row r="28" customFormat="false" ht="15" hidden="false" customHeight="false" outlineLevel="0" collapsed="false">
      <c r="A28" s="59"/>
      <c r="B28" s="59"/>
      <c r="C28" s="59"/>
      <c r="D28" s="59"/>
      <c r="E28" s="60" t="str">
        <f aca="false">IF(OR(C28="",D28=""),"",D28-C28)</f>
        <v/>
      </c>
      <c r="F28" s="59"/>
      <c r="G28" s="59"/>
      <c r="H28" s="59"/>
      <c r="I28" s="59"/>
      <c r="J28" s="59"/>
    </row>
    <row r="29" customFormat="false" ht="15" hidden="false" customHeight="false" outlineLevel="0" collapsed="false">
      <c r="A29" s="59"/>
      <c r="B29" s="59"/>
      <c r="C29" s="59"/>
      <c r="D29" s="59"/>
      <c r="E29" s="60" t="str">
        <f aca="false">IF(OR(C29="",D29=""),"",D29-C29)</f>
        <v/>
      </c>
      <c r="F29" s="59"/>
      <c r="G29" s="59"/>
      <c r="H29" s="59"/>
      <c r="I29" s="59"/>
      <c r="J29" s="59"/>
    </row>
    <row r="30" customFormat="false" ht="15" hidden="false" customHeight="false" outlineLevel="0" collapsed="false">
      <c r="A30" s="59"/>
      <c r="B30" s="59"/>
      <c r="C30" s="59"/>
      <c r="D30" s="59"/>
      <c r="E30" s="60" t="str">
        <f aca="false">IF(OR(C30="",D30=""),"",D30-C30)</f>
        <v/>
      </c>
      <c r="F30" s="59"/>
      <c r="G30" s="59"/>
      <c r="H30" s="59"/>
      <c r="I30" s="59"/>
      <c r="J30" s="59"/>
    </row>
    <row r="31" customFormat="false" ht="15" hidden="false" customHeight="false" outlineLevel="0" collapsed="false">
      <c r="A31" s="59"/>
      <c r="B31" s="59"/>
      <c r="C31" s="59"/>
      <c r="D31" s="59"/>
      <c r="E31" s="60" t="str">
        <f aca="false">IF(OR(C31="",D31=""),"",D31-C31)</f>
        <v/>
      </c>
      <c r="F31" s="59"/>
      <c r="G31" s="59"/>
      <c r="H31" s="59"/>
      <c r="I31" s="59"/>
      <c r="J31" s="59"/>
    </row>
    <row r="32" customFormat="false" ht="15" hidden="false" customHeight="false" outlineLevel="0" collapsed="false">
      <c r="A32" s="59"/>
      <c r="B32" s="59"/>
      <c r="C32" s="59"/>
      <c r="D32" s="59"/>
      <c r="E32" s="60" t="str">
        <f aca="false">IF(OR(C32="",D32=""),"",D32-C32)</f>
        <v/>
      </c>
      <c r="F32" s="59"/>
      <c r="G32" s="59"/>
      <c r="H32" s="59"/>
      <c r="I32" s="59"/>
      <c r="J32" s="59"/>
    </row>
    <row r="33" customFormat="false" ht="15" hidden="false" customHeight="false" outlineLevel="0" collapsed="false">
      <c r="A33" s="59"/>
      <c r="B33" s="59"/>
      <c r="C33" s="59"/>
      <c r="D33" s="59"/>
      <c r="E33" s="60" t="str">
        <f aca="false">IF(OR(C33="",D33=""),"",D33-C33)</f>
        <v/>
      </c>
      <c r="F33" s="59"/>
      <c r="G33" s="59"/>
      <c r="H33" s="59"/>
      <c r="I33" s="59"/>
      <c r="J33" s="59"/>
    </row>
    <row r="34" customFormat="false" ht="15" hidden="false" customHeight="false" outlineLevel="0" collapsed="false">
      <c r="A34" s="59"/>
      <c r="B34" s="59"/>
      <c r="C34" s="59"/>
      <c r="D34" s="59"/>
      <c r="E34" s="60" t="str">
        <f aca="false">IF(OR(C34="",D34=""),"",D34-C34)</f>
        <v/>
      </c>
      <c r="F34" s="59"/>
      <c r="G34" s="59"/>
      <c r="H34" s="59"/>
      <c r="I34" s="59"/>
      <c r="J34" s="59"/>
    </row>
    <row r="35" customFormat="false" ht="15" hidden="false" customHeight="false" outlineLevel="0" collapsed="false">
      <c r="A35" s="59"/>
      <c r="B35" s="59"/>
      <c r="C35" s="59"/>
      <c r="D35" s="59"/>
      <c r="E35" s="60" t="str">
        <f aca="false">IF(OR(C35="",D35=""),"",D35-C35)</f>
        <v/>
      </c>
      <c r="F35" s="59"/>
      <c r="G35" s="59"/>
      <c r="H35" s="59"/>
      <c r="I35" s="59"/>
      <c r="J35" s="59"/>
    </row>
    <row r="36" customFormat="false" ht="15" hidden="false" customHeight="false" outlineLevel="0" collapsed="false">
      <c r="A36" s="59"/>
      <c r="B36" s="59"/>
      <c r="C36" s="59"/>
      <c r="D36" s="59"/>
      <c r="E36" s="60" t="str">
        <f aca="false">IF(OR(C36="",D36=""),"",D36-C36)</f>
        <v/>
      </c>
      <c r="F36" s="59"/>
      <c r="G36" s="59"/>
      <c r="H36" s="59"/>
      <c r="I36" s="59"/>
      <c r="J36" s="59"/>
    </row>
    <row r="37" customFormat="false" ht="15" hidden="false" customHeight="false" outlineLevel="0" collapsed="false">
      <c r="A37" s="59"/>
      <c r="B37" s="59"/>
      <c r="C37" s="59"/>
      <c r="D37" s="59"/>
      <c r="E37" s="60" t="str">
        <f aca="false">IF(OR(C37="",D37=""),"",D37-C37)</f>
        <v/>
      </c>
      <c r="F37" s="59"/>
      <c r="G37" s="59"/>
      <c r="H37" s="59"/>
      <c r="I37" s="59"/>
      <c r="J37" s="59"/>
    </row>
    <row r="38" customFormat="false" ht="15" hidden="false" customHeight="false" outlineLevel="0" collapsed="false">
      <c r="A38" s="59"/>
      <c r="B38" s="59"/>
      <c r="C38" s="59"/>
      <c r="D38" s="59"/>
      <c r="E38" s="60" t="str">
        <f aca="false">IF(OR(C38="",D38=""),"",D38-C38)</f>
        <v/>
      </c>
      <c r="F38" s="59"/>
      <c r="G38" s="59"/>
      <c r="H38" s="59"/>
      <c r="I38" s="59"/>
      <c r="J38" s="59"/>
    </row>
    <row r="39" customFormat="false" ht="15" hidden="false" customHeight="false" outlineLevel="0" collapsed="false">
      <c r="A39" s="59"/>
      <c r="B39" s="59"/>
      <c r="C39" s="59"/>
      <c r="D39" s="59"/>
      <c r="E39" s="60" t="str">
        <f aca="false">IF(OR(C39="",D39=""),"",D39-C39)</f>
        <v/>
      </c>
      <c r="F39" s="59"/>
      <c r="G39" s="59"/>
      <c r="H39" s="59"/>
      <c r="I39" s="59"/>
      <c r="J39" s="59"/>
    </row>
    <row r="40" customFormat="false" ht="15" hidden="false" customHeight="false" outlineLevel="0" collapsed="false">
      <c r="A40" s="59"/>
      <c r="B40" s="59"/>
      <c r="C40" s="59"/>
      <c r="D40" s="59"/>
      <c r="E40" s="60" t="str">
        <f aca="false">IF(OR(C40="",D40=""),"",D40-C40)</f>
        <v/>
      </c>
      <c r="F40" s="59"/>
      <c r="G40" s="59"/>
      <c r="H40" s="59"/>
      <c r="I40" s="59"/>
      <c r="J40" s="59"/>
    </row>
    <row r="41" customFormat="false" ht="15" hidden="false" customHeight="false" outlineLevel="0" collapsed="false">
      <c r="A41" s="59"/>
      <c r="B41" s="59"/>
      <c r="C41" s="59"/>
      <c r="D41" s="59"/>
      <c r="E41" s="60" t="str">
        <f aca="false">IF(OR(C41="",D41=""),"",D41-C41)</f>
        <v/>
      </c>
      <c r="F41" s="59"/>
      <c r="G41" s="59"/>
      <c r="H41" s="59"/>
      <c r="I41" s="59"/>
      <c r="J41" s="59"/>
    </row>
    <row r="42" customFormat="false" ht="15" hidden="false" customHeight="false" outlineLevel="0" collapsed="false">
      <c r="A42" s="59"/>
      <c r="B42" s="59"/>
      <c r="C42" s="59"/>
      <c r="D42" s="59"/>
      <c r="E42" s="60" t="str">
        <f aca="false">IF(OR(C42="",D42=""),"",D42-C42)</f>
        <v/>
      </c>
      <c r="F42" s="59"/>
      <c r="G42" s="59"/>
      <c r="H42" s="59"/>
      <c r="I42" s="59"/>
      <c r="J42" s="59"/>
    </row>
    <row r="43" customFormat="false" ht="15" hidden="false" customHeight="false" outlineLevel="0" collapsed="false">
      <c r="A43" s="59"/>
      <c r="B43" s="59"/>
      <c r="C43" s="59"/>
      <c r="D43" s="59"/>
      <c r="E43" s="60" t="str">
        <f aca="false">IF(OR(C43="",D43=""),"",D43-C43)</f>
        <v/>
      </c>
      <c r="F43" s="59"/>
      <c r="G43" s="59"/>
      <c r="H43" s="59"/>
      <c r="I43" s="59"/>
      <c r="J43" s="59"/>
    </row>
    <row r="44" customFormat="false" ht="15" hidden="false" customHeight="false" outlineLevel="0" collapsed="false">
      <c r="A44" s="59"/>
      <c r="B44" s="59"/>
      <c r="C44" s="59"/>
      <c r="D44" s="59"/>
      <c r="E44" s="60" t="str">
        <f aca="false">IF(OR(C44="",D44=""),"",D44-C44)</f>
        <v/>
      </c>
      <c r="F44" s="59"/>
      <c r="G44" s="59"/>
      <c r="H44" s="59"/>
      <c r="I44" s="59"/>
      <c r="J44" s="59"/>
    </row>
    <row r="45" customFormat="false" ht="15" hidden="false" customHeight="false" outlineLevel="0" collapsed="false">
      <c r="A45" s="59"/>
      <c r="B45" s="59"/>
      <c r="C45" s="59"/>
      <c r="D45" s="59"/>
      <c r="E45" s="60" t="str">
        <f aca="false">IF(OR(C45="",D45=""),"",D45-C45)</f>
        <v/>
      </c>
      <c r="F45" s="59"/>
      <c r="G45" s="59"/>
      <c r="H45" s="59"/>
      <c r="I45" s="59"/>
      <c r="J45" s="59"/>
    </row>
    <row r="46" customFormat="false" ht="15" hidden="false" customHeight="false" outlineLevel="0" collapsed="false">
      <c r="A46" s="59"/>
      <c r="B46" s="59"/>
      <c r="C46" s="59"/>
      <c r="D46" s="59"/>
      <c r="E46" s="60" t="str">
        <f aca="false">IF(OR(C46="",D46=""),"",D46-C46)</f>
        <v/>
      </c>
      <c r="F46" s="59"/>
      <c r="G46" s="59"/>
      <c r="H46" s="59"/>
      <c r="I46" s="59"/>
      <c r="J46" s="59"/>
    </row>
    <row r="47" customFormat="false" ht="15" hidden="false" customHeight="false" outlineLevel="0" collapsed="false">
      <c r="A47" s="59"/>
      <c r="B47" s="59"/>
      <c r="C47" s="59"/>
      <c r="D47" s="59"/>
      <c r="E47" s="60" t="str">
        <f aca="false">IF(OR(C47="",D47=""),"",D47-C47)</f>
        <v/>
      </c>
      <c r="F47" s="59"/>
      <c r="G47" s="59"/>
      <c r="H47" s="59"/>
      <c r="I47" s="59"/>
      <c r="J47" s="59"/>
    </row>
    <row r="48" customFormat="false" ht="15" hidden="false" customHeight="false" outlineLevel="0" collapsed="false">
      <c r="A48" s="59"/>
      <c r="B48" s="59"/>
      <c r="C48" s="59"/>
      <c r="D48" s="59"/>
      <c r="E48" s="60" t="str">
        <f aca="false">IF(OR(C48="",D48=""),"",D48-C48)</f>
        <v/>
      </c>
      <c r="F48" s="59"/>
      <c r="G48" s="59"/>
      <c r="H48" s="59"/>
      <c r="I48" s="59"/>
      <c r="J48" s="59"/>
    </row>
    <row r="49" customFormat="false" ht="15" hidden="false" customHeight="false" outlineLevel="0" collapsed="false">
      <c r="A49" s="59"/>
      <c r="B49" s="59"/>
      <c r="C49" s="59"/>
      <c r="D49" s="59"/>
      <c r="E49" s="60" t="str">
        <f aca="false">IF(OR(C49="",D49=""),"",D49-C49)</f>
        <v/>
      </c>
      <c r="F49" s="59"/>
      <c r="G49" s="59"/>
      <c r="H49" s="59"/>
      <c r="I49" s="59"/>
      <c r="J49" s="59"/>
    </row>
    <row r="50" customFormat="false" ht="15" hidden="false" customHeight="false" outlineLevel="0" collapsed="false">
      <c r="A50" s="59"/>
      <c r="B50" s="59"/>
      <c r="C50" s="59"/>
      <c r="D50" s="59"/>
      <c r="E50" s="60" t="str">
        <f aca="false">IF(OR(C50="",D50=""),"",D50-C50)</f>
        <v/>
      </c>
      <c r="F50" s="59"/>
      <c r="G50" s="59"/>
      <c r="H50" s="59"/>
      <c r="I50" s="59"/>
      <c r="J50" s="59"/>
    </row>
    <row r="51" customFormat="false" ht="15" hidden="false" customHeight="false" outlineLevel="0" collapsed="false">
      <c r="A51" s="59"/>
      <c r="B51" s="59"/>
      <c r="C51" s="59"/>
      <c r="D51" s="59"/>
      <c r="E51" s="60" t="str">
        <f aca="false">IF(OR(C51="",D51=""),"",D51-C51)</f>
        <v/>
      </c>
      <c r="F51" s="59"/>
      <c r="G51" s="59"/>
      <c r="H51" s="59"/>
      <c r="I51" s="59"/>
      <c r="J51" s="59"/>
    </row>
    <row r="52" customFormat="false" ht="15" hidden="false" customHeight="false" outlineLevel="0" collapsed="false">
      <c r="A52" s="59"/>
      <c r="B52" s="59"/>
      <c r="C52" s="59"/>
      <c r="D52" s="59"/>
      <c r="E52" s="60" t="str">
        <f aca="false">IF(OR(C52="",D52=""),"",D52-C52)</f>
        <v/>
      </c>
      <c r="F52" s="59"/>
      <c r="G52" s="59"/>
      <c r="H52" s="59"/>
      <c r="I52" s="59"/>
      <c r="J52" s="59"/>
    </row>
    <row r="53" customFormat="false" ht="15" hidden="false" customHeight="false" outlineLevel="0" collapsed="false">
      <c r="A53" s="59"/>
      <c r="B53" s="59"/>
      <c r="C53" s="59"/>
      <c r="D53" s="59"/>
      <c r="E53" s="60" t="str">
        <f aca="false">IF(OR(C53="",D53=""),"",D53-C53)</f>
        <v/>
      </c>
      <c r="F53" s="59"/>
      <c r="G53" s="59"/>
      <c r="H53" s="59"/>
      <c r="I53" s="59"/>
      <c r="J53" s="59"/>
    </row>
    <row r="54" customFormat="false" ht="15" hidden="false" customHeight="false" outlineLevel="0" collapsed="false">
      <c r="A54" s="59"/>
      <c r="B54" s="59"/>
      <c r="C54" s="59"/>
      <c r="D54" s="59"/>
      <c r="E54" s="60" t="str">
        <f aca="false">IF(OR(C54="",D54=""),"",D54-C54)</f>
        <v/>
      </c>
      <c r="F54" s="59"/>
      <c r="G54" s="59"/>
      <c r="H54" s="59"/>
      <c r="I54" s="59"/>
      <c r="J54" s="59"/>
    </row>
    <row r="55" customFormat="false" ht="15" hidden="false" customHeight="false" outlineLevel="0" collapsed="false">
      <c r="A55" s="59"/>
      <c r="B55" s="59"/>
      <c r="C55" s="59"/>
      <c r="D55" s="59"/>
      <c r="E55" s="60" t="str">
        <f aca="false">IF(OR(C55="",D55=""),"",D55-C55)</f>
        <v/>
      </c>
      <c r="F55" s="59"/>
      <c r="G55" s="59"/>
      <c r="H55" s="59"/>
      <c r="I55" s="59"/>
      <c r="J55" s="59"/>
    </row>
    <row r="56" customFormat="false" ht="15" hidden="false" customHeight="false" outlineLevel="0" collapsed="false">
      <c r="A56" s="59"/>
      <c r="B56" s="59"/>
      <c r="C56" s="59"/>
      <c r="D56" s="59"/>
      <c r="E56" s="60" t="str">
        <f aca="false">IF(OR(C56="",D56=""),"",D56-C56)</f>
        <v/>
      </c>
      <c r="F56" s="59"/>
      <c r="G56" s="59"/>
      <c r="H56" s="59"/>
      <c r="I56" s="59"/>
      <c r="J56" s="59"/>
    </row>
    <row r="57" customFormat="false" ht="15" hidden="false" customHeight="false" outlineLevel="0" collapsed="false">
      <c r="A57" s="59"/>
      <c r="B57" s="59"/>
      <c r="C57" s="59"/>
      <c r="D57" s="59"/>
      <c r="E57" s="60" t="str">
        <f aca="false">IF(OR(C57="",D57=""),"",D57-C57)</f>
        <v/>
      </c>
      <c r="F57" s="59"/>
      <c r="G57" s="59"/>
      <c r="H57" s="59"/>
      <c r="I57" s="59"/>
      <c r="J57" s="59"/>
    </row>
    <row r="58" customFormat="false" ht="15" hidden="false" customHeight="false" outlineLevel="0" collapsed="false">
      <c r="A58" s="59"/>
      <c r="B58" s="59"/>
      <c r="C58" s="59"/>
      <c r="D58" s="59"/>
      <c r="E58" s="60" t="str">
        <f aca="false">IF(OR(C58="",D58=""),"",D58-C58)</f>
        <v/>
      </c>
      <c r="F58" s="59"/>
      <c r="G58" s="59"/>
      <c r="H58" s="59"/>
      <c r="I58" s="59"/>
      <c r="J58" s="59"/>
    </row>
    <row r="59" customFormat="false" ht="15" hidden="false" customHeight="false" outlineLevel="0" collapsed="false">
      <c r="A59" s="59"/>
      <c r="B59" s="59"/>
      <c r="C59" s="59"/>
      <c r="D59" s="59"/>
      <c r="E59" s="60" t="str">
        <f aca="false">IF(OR(C59="",D59=""),"",D59-C59)</f>
        <v/>
      </c>
      <c r="F59" s="59"/>
      <c r="G59" s="59"/>
      <c r="H59" s="59"/>
      <c r="I59" s="59"/>
      <c r="J59" s="59"/>
    </row>
    <row r="60" customFormat="false" ht="15" hidden="false" customHeight="false" outlineLevel="0" collapsed="false">
      <c r="A60" s="59"/>
      <c r="B60" s="59"/>
      <c r="C60" s="59"/>
      <c r="D60" s="59"/>
      <c r="E60" s="60" t="str">
        <f aca="false">IF(OR(C60="",D60=""),"",D60-C60)</f>
        <v/>
      </c>
      <c r="F60" s="59"/>
      <c r="G60" s="59"/>
      <c r="H60" s="59"/>
      <c r="I60" s="59"/>
      <c r="J60" s="59"/>
    </row>
    <row r="61" customFormat="false" ht="15" hidden="false" customHeight="false" outlineLevel="0" collapsed="false">
      <c r="A61" s="59"/>
      <c r="B61" s="59"/>
      <c r="C61" s="59"/>
      <c r="D61" s="59"/>
      <c r="E61" s="60" t="str">
        <f aca="false">IF(OR(C61="",D61=""),"",D61-C61)</f>
        <v/>
      </c>
      <c r="F61" s="59"/>
      <c r="G61" s="59"/>
      <c r="H61" s="59"/>
      <c r="I61" s="59"/>
      <c r="J61" s="59"/>
    </row>
    <row r="62" customFormat="false" ht="15" hidden="false" customHeight="false" outlineLevel="0" collapsed="false">
      <c r="A62" s="59"/>
      <c r="B62" s="59"/>
      <c r="C62" s="59"/>
      <c r="D62" s="59"/>
      <c r="E62" s="60" t="str">
        <f aca="false">IF(OR(C62="",D62=""),"",D62-C62)</f>
        <v/>
      </c>
      <c r="F62" s="59"/>
      <c r="G62" s="59"/>
      <c r="H62" s="59"/>
      <c r="I62" s="59"/>
      <c r="J62" s="59"/>
    </row>
    <row r="63" customFormat="false" ht="15" hidden="false" customHeight="false" outlineLevel="0" collapsed="false">
      <c r="A63" s="59"/>
      <c r="B63" s="59"/>
      <c r="C63" s="59"/>
      <c r="D63" s="59"/>
      <c r="E63" s="60" t="str">
        <f aca="false">IF(OR(C63="",D63=""),"",D63-C63)</f>
        <v/>
      </c>
      <c r="F63" s="59"/>
      <c r="G63" s="59"/>
      <c r="H63" s="59"/>
      <c r="I63" s="59"/>
      <c r="J63" s="59"/>
    </row>
    <row r="64" customFormat="false" ht="15" hidden="false" customHeight="false" outlineLevel="0" collapsed="false">
      <c r="A64" s="59"/>
      <c r="B64" s="59"/>
      <c r="C64" s="59"/>
      <c r="D64" s="59"/>
      <c r="E64" s="60" t="str">
        <f aca="false">IF(OR(C64="",D64=""),"",D64-C64)</f>
        <v/>
      </c>
      <c r="F64" s="59"/>
      <c r="G64" s="59"/>
      <c r="H64" s="59"/>
      <c r="I64" s="59"/>
      <c r="J64" s="59"/>
    </row>
    <row r="65" customFormat="false" ht="15" hidden="false" customHeight="false" outlineLevel="0" collapsed="false">
      <c r="A65" s="59"/>
      <c r="B65" s="59"/>
      <c r="C65" s="59"/>
      <c r="D65" s="59"/>
      <c r="E65" s="60" t="str">
        <f aca="false">IF(OR(C65="",D65=""),"",D65-C65)</f>
        <v/>
      </c>
      <c r="F65" s="59"/>
      <c r="G65" s="59"/>
      <c r="H65" s="59"/>
      <c r="I65" s="59"/>
      <c r="J65" s="59"/>
    </row>
    <row r="66" customFormat="false" ht="15" hidden="false" customHeight="false" outlineLevel="0" collapsed="false">
      <c r="A66" s="59"/>
      <c r="B66" s="59"/>
      <c r="C66" s="59"/>
      <c r="D66" s="59"/>
      <c r="E66" s="60" t="str">
        <f aca="false">IF(OR(C66="",D66=""),"",D66-C66)</f>
        <v/>
      </c>
      <c r="F66" s="59"/>
      <c r="G66" s="59"/>
      <c r="H66" s="59"/>
      <c r="I66" s="59"/>
      <c r="J66" s="59"/>
    </row>
    <row r="67" customFormat="false" ht="15" hidden="false" customHeight="false" outlineLevel="0" collapsed="false">
      <c r="A67" s="59"/>
      <c r="B67" s="59"/>
      <c r="C67" s="59"/>
      <c r="D67" s="59"/>
      <c r="E67" s="60" t="str">
        <f aca="false">IF(OR(C67="",D67=""),"",D67-C67)</f>
        <v/>
      </c>
      <c r="F67" s="59"/>
      <c r="G67" s="59"/>
      <c r="H67" s="59"/>
      <c r="I67" s="59"/>
      <c r="J67" s="59"/>
    </row>
    <row r="68" customFormat="false" ht="15" hidden="false" customHeight="false" outlineLevel="0" collapsed="false">
      <c r="A68" s="59"/>
      <c r="B68" s="59"/>
      <c r="C68" s="59"/>
      <c r="D68" s="59"/>
      <c r="E68" s="60" t="str">
        <f aca="false">IF(OR(C68="",D68=""),"",D68-C68)</f>
        <v/>
      </c>
      <c r="F68" s="59"/>
      <c r="G68" s="59"/>
      <c r="H68" s="59"/>
      <c r="I68" s="59"/>
      <c r="J68" s="59"/>
    </row>
    <row r="69" customFormat="false" ht="15" hidden="false" customHeight="false" outlineLevel="0" collapsed="false">
      <c r="A69" s="59"/>
      <c r="B69" s="59"/>
      <c r="C69" s="59"/>
      <c r="D69" s="59"/>
      <c r="E69" s="60" t="str">
        <f aca="false">IF(OR(C69="",D69=""),"",D69-C69)</f>
        <v/>
      </c>
      <c r="F69" s="59"/>
      <c r="G69" s="59"/>
      <c r="H69" s="59"/>
      <c r="I69" s="59"/>
      <c r="J69" s="59"/>
    </row>
    <row r="70" customFormat="false" ht="15" hidden="false" customHeight="false" outlineLevel="0" collapsed="false">
      <c r="A70" s="59"/>
      <c r="B70" s="59"/>
      <c r="C70" s="59"/>
      <c r="D70" s="59"/>
      <c r="E70" s="60" t="str">
        <f aca="false">IF(OR(C70="",D70=""),"",D70-C70)</f>
        <v/>
      </c>
      <c r="F70" s="59"/>
      <c r="G70" s="59"/>
      <c r="H70" s="59"/>
      <c r="I70" s="59"/>
      <c r="J70" s="59"/>
    </row>
    <row r="71" customFormat="false" ht="15" hidden="false" customHeight="false" outlineLevel="0" collapsed="false">
      <c r="A71" s="59"/>
      <c r="B71" s="59"/>
      <c r="C71" s="59"/>
      <c r="D71" s="59"/>
      <c r="E71" s="60" t="str">
        <f aca="false">IF(OR(C71="",D71=""),"",D71-C71)</f>
        <v/>
      </c>
      <c r="F71" s="59"/>
      <c r="G71" s="59"/>
      <c r="H71" s="59"/>
      <c r="I71" s="59"/>
      <c r="J71" s="59"/>
    </row>
    <row r="72" customFormat="false" ht="15" hidden="false" customHeight="false" outlineLevel="0" collapsed="false">
      <c r="A72" s="59"/>
      <c r="B72" s="59"/>
      <c r="C72" s="59"/>
      <c r="D72" s="59"/>
      <c r="E72" s="60" t="str">
        <f aca="false">IF(OR(C72="",D72=""),"",D72-C72)</f>
        <v/>
      </c>
      <c r="F72" s="59"/>
      <c r="G72" s="59"/>
      <c r="H72" s="59"/>
      <c r="I72" s="59"/>
      <c r="J72" s="59"/>
    </row>
    <row r="73" customFormat="false" ht="15" hidden="false" customHeight="false" outlineLevel="0" collapsed="false">
      <c r="A73" s="59"/>
      <c r="B73" s="59"/>
      <c r="C73" s="59"/>
      <c r="D73" s="59"/>
      <c r="E73" s="60" t="str">
        <f aca="false">IF(OR(C73="",D73=""),"",D73-C73)</f>
        <v/>
      </c>
      <c r="F73" s="59"/>
      <c r="G73" s="59"/>
      <c r="H73" s="59"/>
      <c r="I73" s="59"/>
      <c r="J73" s="59"/>
    </row>
    <row r="74" customFormat="false" ht="15" hidden="false" customHeight="false" outlineLevel="0" collapsed="false">
      <c r="A74" s="59"/>
      <c r="B74" s="59"/>
      <c r="C74" s="59"/>
      <c r="D74" s="59"/>
      <c r="E74" s="60" t="str">
        <f aca="false">IF(OR(C74="",D74=""),"",D74-C74)</f>
        <v/>
      </c>
      <c r="F74" s="59"/>
      <c r="G74" s="59"/>
      <c r="H74" s="59"/>
      <c r="I74" s="59"/>
      <c r="J74" s="59"/>
    </row>
    <row r="75" customFormat="false" ht="15" hidden="false" customHeight="false" outlineLevel="0" collapsed="false">
      <c r="A75" s="59"/>
      <c r="B75" s="59"/>
      <c r="C75" s="59"/>
      <c r="D75" s="59"/>
      <c r="E75" s="60" t="str">
        <f aca="false">IF(OR(C75="",D75=""),"",D75-C75)</f>
        <v/>
      </c>
      <c r="F75" s="59"/>
      <c r="G75" s="59"/>
      <c r="H75" s="59"/>
      <c r="I75" s="59"/>
      <c r="J75" s="59"/>
    </row>
    <row r="76" customFormat="false" ht="15" hidden="false" customHeight="false" outlineLevel="0" collapsed="false">
      <c r="A76" s="59"/>
      <c r="B76" s="59"/>
      <c r="C76" s="59"/>
      <c r="D76" s="59"/>
      <c r="E76" s="60" t="str">
        <f aca="false">IF(OR(C76="",D76=""),"",D76-C76)</f>
        <v/>
      </c>
      <c r="F76" s="59"/>
      <c r="G76" s="59"/>
      <c r="H76" s="59"/>
      <c r="I76" s="59"/>
      <c r="J76" s="59"/>
    </row>
    <row r="77" customFormat="false" ht="15" hidden="false" customHeight="false" outlineLevel="0" collapsed="false">
      <c r="A77" s="59"/>
      <c r="B77" s="59"/>
      <c r="C77" s="59"/>
      <c r="D77" s="59"/>
      <c r="E77" s="60" t="str">
        <f aca="false">IF(OR(C77="",D77=""),"",D77-C77)</f>
        <v/>
      </c>
      <c r="F77" s="59"/>
      <c r="G77" s="59"/>
      <c r="H77" s="59"/>
      <c r="I77" s="59"/>
      <c r="J77" s="59"/>
    </row>
    <row r="78" customFormat="false" ht="15" hidden="false" customHeight="false" outlineLevel="0" collapsed="false">
      <c r="A78" s="59"/>
      <c r="B78" s="59"/>
      <c r="C78" s="59"/>
      <c r="D78" s="59"/>
      <c r="E78" s="60" t="str">
        <f aca="false">IF(OR(C78="",D78=""),"",D78-C78)</f>
        <v/>
      </c>
      <c r="F78" s="59"/>
      <c r="G78" s="59"/>
      <c r="H78" s="59"/>
      <c r="I78" s="59"/>
      <c r="J78" s="59"/>
    </row>
    <row r="79" customFormat="false" ht="15" hidden="false" customHeight="false" outlineLevel="0" collapsed="false">
      <c r="A79" s="59"/>
      <c r="B79" s="59"/>
      <c r="C79" s="59"/>
      <c r="D79" s="59"/>
      <c r="E79" s="60" t="str">
        <f aca="false">IF(OR(C79="",D79=""),"",D79-C79)</f>
        <v/>
      </c>
      <c r="F79" s="59"/>
      <c r="G79" s="59"/>
      <c r="H79" s="59"/>
      <c r="I79" s="59"/>
      <c r="J79" s="59"/>
    </row>
    <row r="80" customFormat="false" ht="15" hidden="false" customHeight="false" outlineLevel="0" collapsed="false">
      <c r="A80" s="59"/>
      <c r="B80" s="59"/>
      <c r="C80" s="59"/>
      <c r="D80" s="59"/>
      <c r="E80" s="60" t="str">
        <f aca="false">IF(OR(C80="",D80=""),"",D80-C80)</f>
        <v/>
      </c>
      <c r="F80" s="59"/>
      <c r="G80" s="59"/>
      <c r="H80" s="59"/>
      <c r="I80" s="59"/>
      <c r="J80" s="59"/>
    </row>
    <row r="81" customFormat="false" ht="15" hidden="false" customHeight="false" outlineLevel="0" collapsed="false">
      <c r="A81" s="59"/>
      <c r="B81" s="59"/>
      <c r="C81" s="59"/>
      <c r="D81" s="59"/>
      <c r="E81" s="60" t="str">
        <f aca="false">IF(OR(C81="",D81=""),"",D81-C81)</f>
        <v/>
      </c>
      <c r="F81" s="59"/>
      <c r="G81" s="59"/>
      <c r="H81" s="59"/>
      <c r="I81" s="59"/>
      <c r="J81" s="59"/>
    </row>
    <row r="82" customFormat="false" ht="15" hidden="false" customHeight="false" outlineLevel="0" collapsed="false">
      <c r="A82" s="59"/>
      <c r="B82" s="59"/>
      <c r="C82" s="59"/>
      <c r="D82" s="59"/>
      <c r="E82" s="60" t="str">
        <f aca="false">IF(OR(C82="",D82=""),"",D82-C82)</f>
        <v/>
      </c>
      <c r="F82" s="59"/>
      <c r="G82" s="59"/>
      <c r="H82" s="59"/>
      <c r="I82" s="59"/>
      <c r="J82" s="59"/>
    </row>
    <row r="83" customFormat="false" ht="15" hidden="false" customHeight="false" outlineLevel="0" collapsed="false">
      <c r="A83" s="59"/>
      <c r="B83" s="59"/>
      <c r="C83" s="59"/>
      <c r="D83" s="59"/>
      <c r="E83" s="60" t="str">
        <f aca="false">IF(OR(C83="",D83=""),"",D83-C83)</f>
        <v/>
      </c>
      <c r="F83" s="59"/>
      <c r="G83" s="59"/>
      <c r="H83" s="59"/>
      <c r="I83" s="59"/>
      <c r="J83" s="59"/>
    </row>
    <row r="84" customFormat="false" ht="15" hidden="false" customHeight="false" outlineLevel="0" collapsed="false">
      <c r="A84" s="59"/>
      <c r="B84" s="59"/>
      <c r="C84" s="59"/>
      <c r="D84" s="59"/>
      <c r="E84" s="60" t="str">
        <f aca="false">IF(OR(C84="",D84=""),"",D84-C84)</f>
        <v/>
      </c>
      <c r="F84" s="59"/>
      <c r="G84" s="59"/>
      <c r="H84" s="59"/>
      <c r="I84" s="59"/>
      <c r="J84" s="59"/>
    </row>
    <row r="85" customFormat="false" ht="15" hidden="false" customHeight="false" outlineLevel="0" collapsed="false">
      <c r="A85" s="59"/>
      <c r="B85" s="59"/>
      <c r="C85" s="59"/>
      <c r="D85" s="59"/>
      <c r="E85" s="60" t="str">
        <f aca="false">IF(OR(C85="",D85=""),"",D85-C85)</f>
        <v/>
      </c>
      <c r="F85" s="59"/>
      <c r="G85" s="59"/>
      <c r="H85" s="59"/>
      <c r="I85" s="59"/>
      <c r="J85" s="59"/>
    </row>
    <row r="86" customFormat="false" ht="15" hidden="false" customHeight="false" outlineLevel="0" collapsed="false">
      <c r="A86" s="59"/>
      <c r="B86" s="59"/>
      <c r="C86" s="59"/>
      <c r="D86" s="59"/>
      <c r="E86" s="60" t="str">
        <f aca="false">IF(OR(C86="",D86=""),"",D86-C86)</f>
        <v/>
      </c>
      <c r="F86" s="59"/>
      <c r="G86" s="59"/>
      <c r="H86" s="59"/>
      <c r="I86" s="59"/>
      <c r="J86" s="59"/>
    </row>
    <row r="87" customFormat="false" ht="15" hidden="false" customHeight="false" outlineLevel="0" collapsed="false">
      <c r="A87" s="59"/>
      <c r="B87" s="59"/>
      <c r="C87" s="59"/>
      <c r="D87" s="59"/>
      <c r="E87" s="60" t="str">
        <f aca="false">IF(OR(C87="",D87=""),"",D87-C87)</f>
        <v/>
      </c>
      <c r="F87" s="59"/>
      <c r="G87" s="59"/>
      <c r="H87" s="59"/>
      <c r="I87" s="59"/>
      <c r="J87" s="59"/>
    </row>
    <row r="88" customFormat="false" ht="15" hidden="false" customHeight="false" outlineLevel="0" collapsed="false">
      <c r="A88" s="59"/>
      <c r="B88" s="59"/>
      <c r="C88" s="59"/>
      <c r="D88" s="59"/>
      <c r="E88" s="60" t="str">
        <f aca="false">IF(OR(C88="",D88=""),"",D88-C88)</f>
        <v/>
      </c>
      <c r="F88" s="59"/>
      <c r="G88" s="59"/>
      <c r="H88" s="59"/>
      <c r="I88" s="59"/>
      <c r="J88" s="59"/>
    </row>
    <row r="89" customFormat="false" ht="15" hidden="false" customHeight="false" outlineLevel="0" collapsed="false">
      <c r="A89" s="59"/>
      <c r="B89" s="59"/>
      <c r="C89" s="59"/>
      <c r="D89" s="59"/>
      <c r="E89" s="60" t="str">
        <f aca="false">IF(OR(C89="",D89=""),"",D89-C89)</f>
        <v/>
      </c>
      <c r="F89" s="59"/>
      <c r="G89" s="59"/>
      <c r="H89" s="59"/>
      <c r="I89" s="59"/>
      <c r="J89" s="59"/>
    </row>
    <row r="90" customFormat="false" ht="15" hidden="false" customHeight="false" outlineLevel="0" collapsed="false">
      <c r="A90" s="59"/>
      <c r="B90" s="59"/>
      <c r="C90" s="59"/>
      <c r="D90" s="59"/>
      <c r="E90" s="60" t="str">
        <f aca="false">IF(OR(C90="",D90=""),"",D90-C90)</f>
        <v/>
      </c>
      <c r="F90" s="59"/>
      <c r="G90" s="59"/>
      <c r="H90" s="59"/>
      <c r="I90" s="59"/>
      <c r="J90" s="59"/>
    </row>
    <row r="91" customFormat="false" ht="15" hidden="false" customHeight="false" outlineLevel="0" collapsed="false">
      <c r="A91" s="59"/>
      <c r="B91" s="59"/>
      <c r="C91" s="59"/>
      <c r="D91" s="59"/>
      <c r="E91" s="60" t="str">
        <f aca="false">IF(OR(C91="",D91=""),"",D91-C91)</f>
        <v/>
      </c>
      <c r="F91" s="59"/>
      <c r="G91" s="59"/>
      <c r="H91" s="59"/>
      <c r="I91" s="59"/>
      <c r="J91" s="59"/>
    </row>
    <row r="92" customFormat="false" ht="15" hidden="false" customHeight="false" outlineLevel="0" collapsed="false">
      <c r="A92" s="59"/>
      <c r="B92" s="59"/>
      <c r="C92" s="59"/>
      <c r="D92" s="59"/>
      <c r="E92" s="60" t="str">
        <f aca="false">IF(OR(C92="",D92=""),"",D92-C92)</f>
        <v/>
      </c>
      <c r="F92" s="59"/>
      <c r="G92" s="59"/>
      <c r="H92" s="59"/>
      <c r="I92" s="59"/>
      <c r="J92" s="59"/>
    </row>
    <row r="93" customFormat="false" ht="15" hidden="false" customHeight="false" outlineLevel="0" collapsed="false">
      <c r="A93" s="59"/>
      <c r="B93" s="59"/>
      <c r="C93" s="59"/>
      <c r="D93" s="59"/>
      <c r="E93" s="60" t="str">
        <f aca="false">IF(OR(C93="",D93=""),"",D93-C93)</f>
        <v/>
      </c>
      <c r="F93" s="59"/>
      <c r="G93" s="59"/>
      <c r="H93" s="59"/>
      <c r="I93" s="59"/>
      <c r="J93" s="59"/>
    </row>
    <row r="94" customFormat="false" ht="15" hidden="false" customHeight="false" outlineLevel="0" collapsed="false">
      <c r="A94" s="59"/>
      <c r="B94" s="59"/>
      <c r="C94" s="59"/>
      <c r="D94" s="59"/>
      <c r="E94" s="60" t="str">
        <f aca="false">IF(OR(C94="",D94=""),"",D94-C94)</f>
        <v/>
      </c>
      <c r="F94" s="59"/>
      <c r="G94" s="59"/>
      <c r="H94" s="59"/>
      <c r="I94" s="59"/>
      <c r="J94" s="59"/>
    </row>
    <row r="95" customFormat="false" ht="15" hidden="false" customHeight="false" outlineLevel="0" collapsed="false">
      <c r="A95" s="59"/>
      <c r="B95" s="59"/>
      <c r="C95" s="59"/>
      <c r="D95" s="59"/>
      <c r="E95" s="60" t="str">
        <f aca="false">IF(OR(C95="",D95=""),"",D95-C95)</f>
        <v/>
      </c>
      <c r="F95" s="59"/>
      <c r="G95" s="59"/>
      <c r="H95" s="59"/>
      <c r="I95" s="59"/>
      <c r="J95" s="59"/>
    </row>
    <row r="96" customFormat="false" ht="15" hidden="false" customHeight="false" outlineLevel="0" collapsed="false">
      <c r="A96" s="59"/>
      <c r="B96" s="59"/>
      <c r="C96" s="59"/>
      <c r="D96" s="59"/>
      <c r="E96" s="60" t="str">
        <f aca="false">IF(OR(C96="",D96=""),"",D96-C96)</f>
        <v/>
      </c>
      <c r="F96" s="59"/>
      <c r="G96" s="59"/>
      <c r="H96" s="59"/>
      <c r="I96" s="59"/>
      <c r="J96" s="59"/>
    </row>
    <row r="97" customFormat="false" ht="15" hidden="false" customHeight="false" outlineLevel="0" collapsed="false">
      <c r="A97" s="59"/>
      <c r="B97" s="59"/>
      <c r="C97" s="59"/>
      <c r="D97" s="59"/>
      <c r="E97" s="60" t="str">
        <f aca="false">IF(OR(C97="",D97=""),"",D97-C97)</f>
        <v/>
      </c>
      <c r="F97" s="59"/>
      <c r="G97" s="59"/>
      <c r="H97" s="59"/>
      <c r="I97" s="59"/>
      <c r="J97" s="59"/>
    </row>
    <row r="98" customFormat="false" ht="15" hidden="false" customHeight="false" outlineLevel="0" collapsed="false">
      <c r="A98" s="59"/>
      <c r="B98" s="59"/>
      <c r="C98" s="59"/>
      <c r="D98" s="59"/>
      <c r="E98" s="60" t="str">
        <f aca="false">IF(OR(C98="",D98=""),"",D98-C98)</f>
        <v/>
      </c>
      <c r="F98" s="59"/>
      <c r="G98" s="59"/>
      <c r="H98" s="59"/>
      <c r="I98" s="59"/>
      <c r="J98" s="59"/>
    </row>
    <row r="99" customFormat="false" ht="15" hidden="false" customHeight="false" outlineLevel="0" collapsed="false">
      <c r="A99" s="59"/>
      <c r="B99" s="59"/>
      <c r="C99" s="59"/>
      <c r="D99" s="59"/>
      <c r="E99" s="60" t="str">
        <f aca="false">IF(OR(C99="",D99=""),"",D99-C99)</f>
        <v/>
      </c>
      <c r="F99" s="59"/>
      <c r="G99" s="59"/>
      <c r="H99" s="59"/>
      <c r="I99" s="59"/>
      <c r="J99" s="59"/>
    </row>
    <row r="100" customFormat="false" ht="15" hidden="false" customHeight="false" outlineLevel="0" collapsed="false">
      <c r="A100" s="59"/>
      <c r="B100" s="59"/>
      <c r="C100" s="59"/>
      <c r="D100" s="59"/>
      <c r="E100" s="60" t="str">
        <f aca="false">IF(OR(C100="",D100=""),"",D100-C100)</f>
        <v/>
      </c>
      <c r="F100" s="59"/>
      <c r="G100" s="59"/>
      <c r="H100" s="59"/>
      <c r="I100" s="59"/>
      <c r="J100" s="59"/>
    </row>
    <row r="101" customFormat="false" ht="15" hidden="false" customHeight="false" outlineLevel="0" collapsed="false">
      <c r="A101" s="59"/>
      <c r="B101" s="59"/>
      <c r="C101" s="59"/>
      <c r="D101" s="59"/>
      <c r="E101" s="60" t="str">
        <f aca="false">IF(OR(C101="",D101=""),"",D101-C101)</f>
        <v/>
      </c>
      <c r="F101" s="59"/>
      <c r="G101" s="59"/>
      <c r="H101" s="59"/>
      <c r="I101" s="59"/>
      <c r="J101" s="59"/>
    </row>
    <row r="102" customFormat="false" ht="15" hidden="false" customHeight="false" outlineLevel="0" collapsed="false">
      <c r="A102" s="59"/>
      <c r="B102" s="59"/>
      <c r="C102" s="59"/>
      <c r="D102" s="59"/>
      <c r="E102" s="60" t="str">
        <f aca="false">IF(OR(C102="",D102=""),"",D102-C102)</f>
        <v/>
      </c>
      <c r="F102" s="59"/>
      <c r="G102" s="59"/>
      <c r="H102" s="59"/>
      <c r="I102" s="59"/>
      <c r="J102" s="59"/>
    </row>
    <row r="103" customFormat="false" ht="15" hidden="false" customHeight="false" outlineLevel="0" collapsed="false">
      <c r="A103" s="59"/>
      <c r="B103" s="59"/>
      <c r="C103" s="59"/>
      <c r="D103" s="59"/>
      <c r="E103" s="60" t="str">
        <f aca="false">IF(OR(C103="",D103=""),"",D103-C103)</f>
        <v/>
      </c>
      <c r="F103" s="59"/>
      <c r="G103" s="59"/>
      <c r="H103" s="59"/>
      <c r="I103" s="59"/>
      <c r="J103" s="59"/>
    </row>
    <row r="104" customFormat="false" ht="15" hidden="false" customHeight="false" outlineLevel="0" collapsed="false">
      <c r="A104" s="59"/>
      <c r="B104" s="59"/>
      <c r="C104" s="59"/>
      <c r="D104" s="59"/>
      <c r="E104" s="60" t="str">
        <f aca="false">IF(OR(C104="",D104=""),"",D104-C104)</f>
        <v/>
      </c>
      <c r="F104" s="59"/>
      <c r="G104" s="59"/>
      <c r="H104" s="59"/>
      <c r="I104" s="59"/>
      <c r="J104" s="59"/>
    </row>
    <row r="105" customFormat="false" ht="15" hidden="false" customHeight="false" outlineLevel="0" collapsed="false">
      <c r="A105" s="59"/>
      <c r="B105" s="59"/>
      <c r="C105" s="59"/>
      <c r="D105" s="59"/>
      <c r="E105" s="60" t="str">
        <f aca="false">IF(OR(C105="",D105=""),"",D105-C105)</f>
        <v/>
      </c>
      <c r="F105" s="59"/>
      <c r="G105" s="59"/>
      <c r="H105" s="59"/>
      <c r="I105" s="59"/>
      <c r="J105" s="59"/>
    </row>
    <row r="106" customFormat="false" ht="15" hidden="false" customHeight="false" outlineLevel="0" collapsed="false">
      <c r="A106" s="59"/>
      <c r="B106" s="59"/>
      <c r="C106" s="59"/>
      <c r="D106" s="59"/>
      <c r="E106" s="60" t="str">
        <f aca="false">IF(OR(C106="",D106=""),"",D106-C106)</f>
        <v/>
      </c>
      <c r="F106" s="59"/>
      <c r="G106" s="59"/>
      <c r="H106" s="59"/>
      <c r="I106" s="59"/>
      <c r="J106" s="59"/>
    </row>
    <row r="107" customFormat="false" ht="15" hidden="false" customHeight="false" outlineLevel="0" collapsed="false">
      <c r="A107" s="59"/>
      <c r="B107" s="59"/>
      <c r="C107" s="59"/>
      <c r="D107" s="59"/>
      <c r="E107" s="60" t="str">
        <f aca="false">IF(OR(C107="",D107=""),"",D107-C107)</f>
        <v/>
      </c>
      <c r="F107" s="59"/>
      <c r="G107" s="59"/>
      <c r="H107" s="59"/>
      <c r="I107" s="59"/>
      <c r="J107" s="59"/>
    </row>
    <row r="108" customFormat="false" ht="15" hidden="false" customHeight="false" outlineLevel="0" collapsed="false">
      <c r="A108" s="59"/>
      <c r="B108" s="59"/>
      <c r="C108" s="59"/>
      <c r="D108" s="59"/>
      <c r="E108" s="60" t="str">
        <f aca="false">IF(OR(C108="",D108=""),"",D108-C108)</f>
        <v/>
      </c>
      <c r="F108" s="59"/>
      <c r="G108" s="59"/>
      <c r="H108" s="59"/>
      <c r="I108" s="59"/>
      <c r="J108" s="59"/>
    </row>
    <row r="109" customFormat="false" ht="15" hidden="false" customHeight="false" outlineLevel="0" collapsed="false">
      <c r="A109" s="59"/>
      <c r="B109" s="59"/>
      <c r="C109" s="59"/>
      <c r="D109" s="59"/>
      <c r="E109" s="60" t="str">
        <f aca="false">IF(OR(C109="",D109=""),"",D109-C109)</f>
        <v/>
      </c>
      <c r="F109" s="59"/>
      <c r="G109" s="59"/>
      <c r="H109" s="59"/>
      <c r="I109" s="59"/>
      <c r="J109" s="59"/>
    </row>
    <row r="110" customFormat="false" ht="15" hidden="false" customHeight="false" outlineLevel="0" collapsed="false">
      <c r="A110" s="59"/>
      <c r="B110" s="59"/>
      <c r="C110" s="59"/>
      <c r="D110" s="59"/>
      <c r="E110" s="60" t="str">
        <f aca="false">IF(OR(C110="",D110=""),"",D110-C110)</f>
        <v/>
      </c>
      <c r="F110" s="59"/>
      <c r="G110" s="59"/>
      <c r="H110" s="59"/>
      <c r="I110" s="59"/>
      <c r="J110" s="59"/>
    </row>
    <row r="111" customFormat="false" ht="15" hidden="false" customHeight="false" outlineLevel="0" collapsed="false">
      <c r="A111" s="59"/>
      <c r="B111" s="59"/>
      <c r="C111" s="59"/>
      <c r="D111" s="59"/>
      <c r="E111" s="60" t="str">
        <f aca="false">IF(OR(C111="",D111=""),"",D111-C111)</f>
        <v/>
      </c>
      <c r="F111" s="59"/>
      <c r="G111" s="59"/>
      <c r="H111" s="59"/>
      <c r="I111" s="59"/>
      <c r="J111" s="59"/>
    </row>
    <row r="112" customFormat="false" ht="15" hidden="false" customHeight="false" outlineLevel="0" collapsed="false">
      <c r="A112" s="59"/>
      <c r="B112" s="59"/>
      <c r="C112" s="59"/>
      <c r="D112" s="59"/>
      <c r="E112" s="60" t="str">
        <f aca="false">IF(OR(C112="",D112=""),"",D112-C112)</f>
        <v/>
      </c>
      <c r="F112" s="59"/>
      <c r="G112" s="59"/>
      <c r="H112" s="59"/>
      <c r="I112" s="59"/>
      <c r="J112" s="59"/>
    </row>
    <row r="113" customFormat="false" ht="15" hidden="false" customHeight="false" outlineLevel="0" collapsed="false">
      <c r="A113" s="59"/>
      <c r="B113" s="59"/>
      <c r="C113" s="59"/>
      <c r="D113" s="59"/>
      <c r="E113" s="60" t="str">
        <f aca="false">IF(OR(C113="",D113=""),"",D113-C113)</f>
        <v/>
      </c>
      <c r="F113" s="59"/>
      <c r="G113" s="59"/>
      <c r="H113" s="59"/>
      <c r="I113" s="59"/>
      <c r="J113" s="59"/>
    </row>
    <row r="114" customFormat="false" ht="15" hidden="false" customHeight="false" outlineLevel="0" collapsed="false">
      <c r="A114" s="59"/>
      <c r="B114" s="59"/>
      <c r="C114" s="59"/>
      <c r="D114" s="59"/>
      <c r="E114" s="60" t="str">
        <f aca="false">IF(OR(C114="",D114=""),"",D114-C114)</f>
        <v/>
      </c>
      <c r="F114" s="59"/>
      <c r="G114" s="59"/>
      <c r="H114" s="59"/>
      <c r="I114" s="59"/>
      <c r="J114" s="59"/>
    </row>
    <row r="115" customFormat="false" ht="15" hidden="false" customHeight="false" outlineLevel="0" collapsed="false">
      <c r="A115" s="59"/>
      <c r="B115" s="59"/>
      <c r="C115" s="59"/>
      <c r="D115" s="59"/>
      <c r="E115" s="60" t="str">
        <f aca="false">IF(OR(C115="",D115=""),"",D115-C115)</f>
        <v/>
      </c>
      <c r="F115" s="59"/>
      <c r="G115" s="59"/>
      <c r="H115" s="59"/>
      <c r="I115" s="59"/>
      <c r="J115" s="59"/>
    </row>
    <row r="116" customFormat="false" ht="15" hidden="false" customHeight="false" outlineLevel="0" collapsed="false">
      <c r="A116" s="59"/>
      <c r="B116" s="59"/>
      <c r="C116" s="59"/>
      <c r="D116" s="59"/>
      <c r="E116" s="60" t="str">
        <f aca="false">IF(OR(C116="",D116=""),"",D116-C116)</f>
        <v/>
      </c>
      <c r="F116" s="59"/>
      <c r="G116" s="59"/>
      <c r="H116" s="59"/>
      <c r="I116" s="59"/>
      <c r="J116" s="59"/>
    </row>
    <row r="117" customFormat="false" ht="15" hidden="false" customHeight="false" outlineLevel="0" collapsed="false">
      <c r="A117" s="59"/>
      <c r="B117" s="59"/>
      <c r="C117" s="59"/>
      <c r="D117" s="59"/>
      <c r="E117" s="60" t="str">
        <f aca="false">IF(OR(C117="",D117=""),"",D117-C117)</f>
        <v/>
      </c>
      <c r="F117" s="59"/>
      <c r="G117" s="59"/>
      <c r="H117" s="59"/>
      <c r="I117" s="59"/>
      <c r="J117" s="59"/>
    </row>
    <row r="118" customFormat="false" ht="15" hidden="false" customHeight="false" outlineLevel="0" collapsed="false">
      <c r="A118" s="59"/>
      <c r="B118" s="59"/>
      <c r="C118" s="59"/>
      <c r="D118" s="59"/>
      <c r="E118" s="60" t="str">
        <f aca="false">IF(OR(C118="",D118=""),"",D118-C118)</f>
        <v/>
      </c>
      <c r="F118" s="59"/>
      <c r="G118" s="59"/>
      <c r="H118" s="59"/>
      <c r="I118" s="59"/>
      <c r="J118" s="59"/>
    </row>
    <row r="119" customFormat="false" ht="15" hidden="false" customHeight="false" outlineLevel="0" collapsed="false">
      <c r="A119" s="59"/>
      <c r="B119" s="59"/>
      <c r="C119" s="59"/>
      <c r="D119" s="59"/>
      <c r="E119" s="60" t="str">
        <f aca="false">IF(OR(C119="",D119=""),"",D119-C119)</f>
        <v/>
      </c>
      <c r="F119" s="59"/>
      <c r="G119" s="59"/>
      <c r="H119" s="59"/>
      <c r="I119" s="59"/>
      <c r="J119" s="59"/>
    </row>
    <row r="120" customFormat="false" ht="15" hidden="false" customHeight="false" outlineLevel="0" collapsed="false">
      <c r="A120" s="59"/>
      <c r="B120" s="59"/>
      <c r="C120" s="59"/>
      <c r="D120" s="59"/>
      <c r="E120" s="60" t="str">
        <f aca="false">IF(OR(C120="",D120=""),"",D120-C120)</f>
        <v/>
      </c>
      <c r="F120" s="59"/>
      <c r="G120" s="59"/>
      <c r="H120" s="59"/>
      <c r="I120" s="59"/>
      <c r="J120" s="59"/>
    </row>
    <row r="121" customFormat="false" ht="15" hidden="false" customHeight="false" outlineLevel="0" collapsed="false">
      <c r="A121" s="59"/>
      <c r="B121" s="59"/>
      <c r="C121" s="59"/>
      <c r="D121" s="59"/>
      <c r="E121" s="60" t="str">
        <f aca="false">IF(OR(C121="",D121=""),"",D121-C121)</f>
        <v/>
      </c>
      <c r="F121" s="59"/>
      <c r="G121" s="59"/>
      <c r="H121" s="59"/>
      <c r="I121" s="59"/>
      <c r="J121" s="59"/>
    </row>
    <row r="122" customFormat="false" ht="15" hidden="false" customHeight="false" outlineLevel="0" collapsed="false">
      <c r="A122" s="59"/>
      <c r="B122" s="59"/>
      <c r="C122" s="59"/>
      <c r="D122" s="59"/>
      <c r="E122" s="60" t="str">
        <f aca="false">IF(OR(C122="",D122=""),"",D122-C122)</f>
        <v/>
      </c>
      <c r="F122" s="59"/>
      <c r="G122" s="59"/>
      <c r="H122" s="59"/>
      <c r="I122" s="59"/>
      <c r="J122" s="59"/>
    </row>
    <row r="123" customFormat="false" ht="15" hidden="false" customHeight="false" outlineLevel="0" collapsed="false">
      <c r="A123" s="59"/>
      <c r="B123" s="59"/>
      <c r="C123" s="59"/>
      <c r="D123" s="59"/>
      <c r="E123" s="60" t="str">
        <f aca="false">IF(OR(C123="",D123=""),"",D123-C123)</f>
        <v/>
      </c>
      <c r="F123" s="59"/>
      <c r="G123" s="59"/>
      <c r="H123" s="59"/>
      <c r="I123" s="59"/>
      <c r="J123" s="59"/>
    </row>
    <row r="124" customFormat="false" ht="15" hidden="false" customHeight="false" outlineLevel="0" collapsed="false">
      <c r="A124" s="59"/>
      <c r="B124" s="59"/>
      <c r="C124" s="59"/>
      <c r="D124" s="59"/>
      <c r="E124" s="60" t="str">
        <f aca="false">IF(OR(C124="",D124=""),"",D124-C124)</f>
        <v/>
      </c>
      <c r="F124" s="59"/>
      <c r="G124" s="59"/>
      <c r="H124" s="59"/>
      <c r="I124" s="59"/>
      <c r="J124" s="59"/>
    </row>
    <row r="125" customFormat="false" ht="15" hidden="false" customHeight="false" outlineLevel="0" collapsed="false">
      <c r="A125" s="59"/>
      <c r="B125" s="59"/>
      <c r="C125" s="59"/>
      <c r="D125" s="59"/>
      <c r="E125" s="60" t="str">
        <f aca="false">IF(OR(C125="",D125=""),"",D125-C125)</f>
        <v/>
      </c>
      <c r="F125" s="59"/>
      <c r="G125" s="59"/>
      <c r="H125" s="59"/>
      <c r="I125" s="59"/>
      <c r="J125" s="59"/>
    </row>
    <row r="126" customFormat="false" ht="15" hidden="false" customHeight="false" outlineLevel="0" collapsed="false">
      <c r="A126" s="59"/>
      <c r="B126" s="59"/>
      <c r="C126" s="59"/>
      <c r="D126" s="59"/>
      <c r="E126" s="60" t="str">
        <f aca="false">IF(OR(C126="",D126=""),"",D126-C126)</f>
        <v/>
      </c>
      <c r="F126" s="59"/>
      <c r="G126" s="59"/>
      <c r="H126" s="59"/>
      <c r="I126" s="59"/>
      <c r="J126" s="59"/>
    </row>
    <row r="127" customFormat="false" ht="15" hidden="false" customHeight="false" outlineLevel="0" collapsed="false">
      <c r="A127" s="59"/>
      <c r="B127" s="59"/>
      <c r="C127" s="59"/>
      <c r="D127" s="59"/>
      <c r="E127" s="60" t="str">
        <f aca="false">IF(OR(C127="",D127=""),"",D127-C127)</f>
        <v/>
      </c>
      <c r="F127" s="59"/>
      <c r="G127" s="59"/>
      <c r="H127" s="59"/>
      <c r="I127" s="59"/>
      <c r="J127" s="59"/>
    </row>
    <row r="128" customFormat="false" ht="15" hidden="false" customHeight="false" outlineLevel="0" collapsed="false">
      <c r="A128" s="59"/>
      <c r="B128" s="59"/>
      <c r="C128" s="59"/>
      <c r="D128" s="59"/>
      <c r="E128" s="60" t="str">
        <f aca="false">IF(OR(C128="",D128=""),"",D128-C128)</f>
        <v/>
      </c>
      <c r="F128" s="59"/>
      <c r="G128" s="59"/>
      <c r="H128" s="59"/>
      <c r="I128" s="59"/>
      <c r="J128" s="59"/>
    </row>
    <row r="129" customFormat="false" ht="15" hidden="false" customHeight="false" outlineLevel="0" collapsed="false">
      <c r="A129" s="59"/>
      <c r="B129" s="59"/>
      <c r="C129" s="59"/>
      <c r="D129" s="59"/>
      <c r="E129" s="60" t="str">
        <f aca="false">IF(OR(C129="",D129=""),"",D129-C129)</f>
        <v/>
      </c>
      <c r="F129" s="59"/>
      <c r="G129" s="59"/>
      <c r="H129" s="59"/>
      <c r="I129" s="59"/>
      <c r="J129" s="59"/>
    </row>
    <row r="130" customFormat="false" ht="15" hidden="false" customHeight="false" outlineLevel="0" collapsed="false">
      <c r="A130" s="59"/>
      <c r="B130" s="59"/>
      <c r="C130" s="59"/>
      <c r="D130" s="59"/>
      <c r="E130" s="60" t="str">
        <f aca="false">IF(OR(C130="",D130=""),"",D130-C130)</f>
        <v/>
      </c>
      <c r="F130" s="59"/>
      <c r="G130" s="59"/>
      <c r="H130" s="59"/>
      <c r="I130" s="59"/>
      <c r="J130" s="59"/>
    </row>
    <row r="131" customFormat="false" ht="15" hidden="false" customHeight="false" outlineLevel="0" collapsed="false">
      <c r="A131" s="59"/>
      <c r="B131" s="59"/>
      <c r="C131" s="59"/>
      <c r="D131" s="59"/>
      <c r="E131" s="60" t="str">
        <f aca="false">IF(OR(C131="",D131=""),"",D131-C131)</f>
        <v/>
      </c>
      <c r="F131" s="59"/>
      <c r="G131" s="59"/>
      <c r="H131" s="59"/>
      <c r="I131" s="59"/>
      <c r="J131" s="59"/>
    </row>
    <row r="132" customFormat="false" ht="15" hidden="false" customHeight="false" outlineLevel="0" collapsed="false">
      <c r="A132" s="59"/>
      <c r="B132" s="59"/>
      <c r="C132" s="59"/>
      <c r="D132" s="59"/>
      <c r="E132" s="60" t="str">
        <f aca="false">IF(OR(C132="",D132=""),"",D132-C132)</f>
        <v/>
      </c>
      <c r="F132" s="59"/>
      <c r="G132" s="59"/>
      <c r="H132" s="59"/>
      <c r="I132" s="59"/>
      <c r="J132" s="59"/>
    </row>
    <row r="133" customFormat="false" ht="15" hidden="false" customHeight="false" outlineLevel="0" collapsed="false">
      <c r="A133" s="59"/>
      <c r="B133" s="59"/>
      <c r="C133" s="59"/>
      <c r="D133" s="59"/>
      <c r="E133" s="60" t="str">
        <f aca="false">IF(OR(C133="",D133=""),"",D133-C133)</f>
        <v/>
      </c>
      <c r="F133" s="59"/>
      <c r="G133" s="59"/>
      <c r="H133" s="59"/>
      <c r="I133" s="59"/>
      <c r="J133" s="59"/>
    </row>
    <row r="134" customFormat="false" ht="15" hidden="false" customHeight="false" outlineLevel="0" collapsed="false">
      <c r="A134" s="59"/>
      <c r="B134" s="59"/>
      <c r="C134" s="59"/>
      <c r="D134" s="59"/>
      <c r="E134" s="60" t="str">
        <f aca="false">IF(OR(C134="",D134=""),"",D134-C134)</f>
        <v/>
      </c>
      <c r="F134" s="59"/>
      <c r="G134" s="59"/>
      <c r="H134" s="59"/>
      <c r="I134" s="59"/>
      <c r="J134" s="59"/>
    </row>
    <row r="135" customFormat="false" ht="15" hidden="false" customHeight="false" outlineLevel="0" collapsed="false">
      <c r="A135" s="59"/>
      <c r="B135" s="59"/>
      <c r="C135" s="59"/>
      <c r="D135" s="59"/>
      <c r="E135" s="60" t="str">
        <f aca="false">IF(OR(C135="",D135=""),"",D135-C135)</f>
        <v/>
      </c>
      <c r="F135" s="59"/>
      <c r="G135" s="59"/>
      <c r="H135" s="59"/>
      <c r="I135" s="59"/>
      <c r="J135" s="59"/>
    </row>
    <row r="136" customFormat="false" ht="15" hidden="false" customHeight="false" outlineLevel="0" collapsed="false">
      <c r="A136" s="59"/>
      <c r="B136" s="59"/>
      <c r="C136" s="59"/>
      <c r="D136" s="59"/>
      <c r="E136" s="60" t="str">
        <f aca="false">IF(OR(C136="",D136=""),"",D136-C136)</f>
        <v/>
      </c>
      <c r="F136" s="59"/>
      <c r="G136" s="59"/>
      <c r="H136" s="59"/>
      <c r="I136" s="59"/>
      <c r="J136" s="59"/>
    </row>
    <row r="137" customFormat="false" ht="15" hidden="false" customHeight="false" outlineLevel="0" collapsed="false">
      <c r="A137" s="59"/>
      <c r="B137" s="59"/>
      <c r="C137" s="59"/>
      <c r="D137" s="59"/>
      <c r="E137" s="60" t="str">
        <f aca="false">IF(OR(C137="",D137=""),"",D137-C137)</f>
        <v/>
      </c>
      <c r="F137" s="59"/>
      <c r="G137" s="59"/>
      <c r="H137" s="59"/>
      <c r="I137" s="59"/>
      <c r="J137" s="59"/>
    </row>
    <row r="138" customFormat="false" ht="15" hidden="false" customHeight="false" outlineLevel="0" collapsed="false">
      <c r="A138" s="59"/>
      <c r="B138" s="59"/>
      <c r="C138" s="59"/>
      <c r="D138" s="59"/>
      <c r="E138" s="60" t="str">
        <f aca="false">IF(OR(C138="",D138=""),"",D138-C138)</f>
        <v/>
      </c>
      <c r="F138" s="59"/>
      <c r="G138" s="59"/>
      <c r="H138" s="59"/>
      <c r="I138" s="59"/>
      <c r="J138" s="59"/>
    </row>
    <row r="139" customFormat="false" ht="15" hidden="false" customHeight="false" outlineLevel="0" collapsed="false">
      <c r="A139" s="59"/>
      <c r="B139" s="59"/>
      <c r="C139" s="59"/>
      <c r="D139" s="59"/>
      <c r="E139" s="60" t="str">
        <f aca="false">IF(OR(C139="",D139=""),"",D139-C139)</f>
        <v/>
      </c>
      <c r="F139" s="59"/>
      <c r="G139" s="59"/>
      <c r="H139" s="59"/>
      <c r="I139" s="59"/>
      <c r="J139" s="59"/>
    </row>
    <row r="140" customFormat="false" ht="15" hidden="false" customHeight="false" outlineLevel="0" collapsed="false">
      <c r="A140" s="59"/>
      <c r="B140" s="59"/>
      <c r="C140" s="59"/>
      <c r="D140" s="59"/>
      <c r="E140" s="60" t="str">
        <f aca="false">IF(OR(C140="",D140=""),"",D140-C140)</f>
        <v/>
      </c>
      <c r="F140" s="59"/>
      <c r="G140" s="59"/>
      <c r="H140" s="59"/>
      <c r="I140" s="59"/>
      <c r="J140" s="59"/>
    </row>
    <row r="141" customFormat="false" ht="15" hidden="false" customHeight="false" outlineLevel="0" collapsed="false">
      <c r="A141" s="59"/>
      <c r="B141" s="59"/>
      <c r="C141" s="59"/>
      <c r="D141" s="59"/>
      <c r="E141" s="60" t="str">
        <f aca="false">IF(OR(C141="",D141=""),"",D141-C141)</f>
        <v/>
      </c>
      <c r="F141" s="59"/>
      <c r="G141" s="59"/>
      <c r="H141" s="59"/>
      <c r="I141" s="59"/>
      <c r="J141" s="59"/>
    </row>
    <row r="142" customFormat="false" ht="15" hidden="false" customHeight="false" outlineLevel="0" collapsed="false">
      <c r="A142" s="59"/>
      <c r="B142" s="59"/>
      <c r="C142" s="59"/>
      <c r="D142" s="59"/>
      <c r="E142" s="60" t="str">
        <f aca="false">IF(OR(C142="",D142=""),"",D142-C142)</f>
        <v/>
      </c>
      <c r="F142" s="59"/>
      <c r="G142" s="59"/>
      <c r="H142" s="59"/>
      <c r="I142" s="59"/>
      <c r="J142" s="59"/>
    </row>
    <row r="143" customFormat="false" ht="15" hidden="false" customHeight="false" outlineLevel="0" collapsed="false">
      <c r="A143" s="59"/>
      <c r="B143" s="59"/>
      <c r="C143" s="59"/>
      <c r="D143" s="59"/>
      <c r="E143" s="60" t="str">
        <f aca="false">IF(OR(C143="",D143=""),"",D143-C143)</f>
        <v/>
      </c>
      <c r="F143" s="59"/>
      <c r="G143" s="59"/>
      <c r="H143" s="59"/>
      <c r="I143" s="59"/>
      <c r="J143" s="59"/>
    </row>
    <row r="144" customFormat="false" ht="15" hidden="false" customHeight="false" outlineLevel="0" collapsed="false">
      <c r="A144" s="59"/>
      <c r="B144" s="59"/>
      <c r="C144" s="59"/>
      <c r="D144" s="59"/>
      <c r="E144" s="60" t="str">
        <f aca="false">IF(OR(C144="",D144=""),"",D144-C144)</f>
        <v/>
      </c>
      <c r="F144" s="59"/>
      <c r="G144" s="59"/>
      <c r="H144" s="59"/>
      <c r="I144" s="59"/>
      <c r="J144" s="59"/>
    </row>
    <row r="145" customFormat="false" ht="15" hidden="false" customHeight="false" outlineLevel="0" collapsed="false">
      <c r="A145" s="59"/>
      <c r="B145" s="59"/>
      <c r="C145" s="59"/>
      <c r="D145" s="59"/>
      <c r="E145" s="60" t="str">
        <f aca="false">IF(OR(C145="",D145=""),"",D145-C145)</f>
        <v/>
      </c>
      <c r="F145" s="59"/>
      <c r="G145" s="59"/>
      <c r="H145" s="59"/>
      <c r="I145" s="59"/>
      <c r="J145" s="59"/>
    </row>
    <row r="146" customFormat="false" ht="15" hidden="false" customHeight="false" outlineLevel="0" collapsed="false">
      <c r="A146" s="59"/>
      <c r="B146" s="59"/>
      <c r="C146" s="59"/>
      <c r="D146" s="59"/>
      <c r="E146" s="60" t="str">
        <f aca="false">IF(OR(C146="",D146=""),"",D146-C146)</f>
        <v/>
      </c>
      <c r="F146" s="59"/>
      <c r="G146" s="59"/>
      <c r="H146" s="59"/>
      <c r="I146" s="59"/>
      <c r="J146" s="59"/>
    </row>
    <row r="147" customFormat="false" ht="15" hidden="false" customHeight="false" outlineLevel="0" collapsed="false">
      <c r="A147" s="59"/>
      <c r="B147" s="59"/>
      <c r="C147" s="59"/>
      <c r="D147" s="59"/>
      <c r="E147" s="60" t="str">
        <f aca="false">IF(OR(C147="",D147=""),"",D147-C147)</f>
        <v/>
      </c>
      <c r="F147" s="59"/>
      <c r="G147" s="59"/>
      <c r="H147" s="59"/>
      <c r="I147" s="59"/>
      <c r="J147" s="59"/>
    </row>
    <row r="148" customFormat="false" ht="15" hidden="false" customHeight="false" outlineLevel="0" collapsed="false">
      <c r="A148" s="59"/>
      <c r="B148" s="59"/>
      <c r="C148" s="59"/>
      <c r="D148" s="59"/>
      <c r="E148" s="60" t="str">
        <f aca="false">IF(OR(C148="",D148=""),"",D148-C148)</f>
        <v/>
      </c>
      <c r="F148" s="59"/>
      <c r="G148" s="59"/>
      <c r="H148" s="59"/>
      <c r="I148" s="59"/>
      <c r="J148" s="59"/>
    </row>
    <row r="149" customFormat="false" ht="15" hidden="false" customHeight="false" outlineLevel="0" collapsed="false">
      <c r="A149" s="59"/>
      <c r="B149" s="59"/>
      <c r="C149" s="59"/>
      <c r="D149" s="59"/>
      <c r="E149" s="60" t="str">
        <f aca="false">IF(OR(C149="",D149=""),"",D149-C149)</f>
        <v/>
      </c>
      <c r="F149" s="59"/>
      <c r="G149" s="59"/>
      <c r="H149" s="59"/>
      <c r="I149" s="59"/>
      <c r="J149" s="59"/>
    </row>
    <row r="150" customFormat="false" ht="15" hidden="false" customHeight="false" outlineLevel="0" collapsed="false">
      <c r="A150" s="59"/>
      <c r="B150" s="59"/>
      <c r="C150" s="59"/>
      <c r="D150" s="59"/>
      <c r="E150" s="60" t="str">
        <f aca="false">IF(OR(C150="",D150=""),"",D150-C150)</f>
        <v/>
      </c>
      <c r="F150" s="59"/>
      <c r="G150" s="59"/>
      <c r="H150" s="59"/>
      <c r="I150" s="59"/>
      <c r="J150" s="59"/>
    </row>
    <row r="151" customFormat="false" ht="15" hidden="false" customHeight="false" outlineLevel="0" collapsed="false">
      <c r="A151" s="59"/>
      <c r="B151" s="59"/>
      <c r="C151" s="59"/>
      <c r="D151" s="59"/>
      <c r="E151" s="60" t="str">
        <f aca="false">IF(OR(C151="",D151=""),"",D151-C151)</f>
        <v/>
      </c>
      <c r="F151" s="59"/>
      <c r="G151" s="59"/>
      <c r="H151" s="59"/>
      <c r="I151" s="59"/>
      <c r="J151" s="59"/>
    </row>
    <row r="152" customFormat="false" ht="15" hidden="false" customHeight="false" outlineLevel="0" collapsed="false">
      <c r="A152" s="59"/>
      <c r="B152" s="59"/>
      <c r="C152" s="59"/>
      <c r="D152" s="59"/>
      <c r="E152" s="60" t="str">
        <f aca="false">IF(OR(C152="",D152=""),"",D152-C152)</f>
        <v/>
      </c>
      <c r="F152" s="59"/>
      <c r="G152" s="59"/>
      <c r="H152" s="59"/>
      <c r="I152" s="59"/>
      <c r="J152" s="59"/>
    </row>
    <row r="153" customFormat="false" ht="15" hidden="false" customHeight="false" outlineLevel="0" collapsed="false">
      <c r="A153" s="59"/>
      <c r="B153" s="59"/>
      <c r="C153" s="59"/>
      <c r="D153" s="59"/>
      <c r="E153" s="60" t="str">
        <f aca="false">IF(OR(C153="",D153=""),"",D153-C153)</f>
        <v/>
      </c>
      <c r="F153" s="59"/>
      <c r="G153" s="59"/>
      <c r="H153" s="59"/>
      <c r="I153" s="59"/>
      <c r="J153" s="59"/>
    </row>
    <row r="154" customFormat="false" ht="15" hidden="false" customHeight="false" outlineLevel="0" collapsed="false">
      <c r="A154" s="59"/>
      <c r="B154" s="59"/>
      <c r="C154" s="59"/>
      <c r="D154" s="59"/>
      <c r="E154" s="60" t="str">
        <f aca="false">IF(OR(C154="",D154=""),"",D154-C154)</f>
        <v/>
      </c>
      <c r="F154" s="59"/>
      <c r="G154" s="59"/>
      <c r="H154" s="59"/>
      <c r="I154" s="59"/>
      <c r="J154" s="59"/>
    </row>
    <row r="155" customFormat="false" ht="15" hidden="false" customHeight="false" outlineLevel="0" collapsed="false">
      <c r="A155" s="59"/>
      <c r="B155" s="59"/>
      <c r="C155" s="59"/>
      <c r="D155" s="59"/>
      <c r="E155" s="60" t="str">
        <f aca="false">IF(OR(C155="",D155=""),"",D155-C155)</f>
        <v/>
      </c>
      <c r="F155" s="59"/>
      <c r="G155" s="59"/>
      <c r="H155" s="59"/>
      <c r="I155" s="59"/>
      <c r="J155" s="59"/>
    </row>
    <row r="156" customFormat="false" ht="15" hidden="false" customHeight="false" outlineLevel="0" collapsed="false">
      <c r="A156" s="59"/>
      <c r="B156" s="59"/>
      <c r="C156" s="59"/>
      <c r="D156" s="59"/>
      <c r="E156" s="60" t="str">
        <f aca="false">IF(OR(C156="",D156=""),"",D156-C156)</f>
        <v/>
      </c>
      <c r="F156" s="59"/>
      <c r="G156" s="59"/>
      <c r="H156" s="59"/>
      <c r="I156" s="59"/>
      <c r="J156" s="59"/>
    </row>
    <row r="157" customFormat="false" ht="15" hidden="false" customHeight="false" outlineLevel="0" collapsed="false">
      <c r="A157" s="59"/>
      <c r="B157" s="59"/>
      <c r="C157" s="59"/>
      <c r="D157" s="59"/>
      <c r="E157" s="60" t="str">
        <f aca="false">IF(OR(C157="",D157=""),"",D157-C157)</f>
        <v/>
      </c>
      <c r="F157" s="59"/>
      <c r="G157" s="59"/>
      <c r="H157" s="59"/>
      <c r="I157" s="59"/>
      <c r="J157" s="59"/>
    </row>
    <row r="158" customFormat="false" ht="15" hidden="false" customHeight="false" outlineLevel="0" collapsed="false">
      <c r="A158" s="59"/>
      <c r="B158" s="59"/>
      <c r="C158" s="59"/>
      <c r="D158" s="59"/>
      <c r="E158" s="60" t="str">
        <f aca="false">IF(OR(C158="",D158=""),"",D158-C158)</f>
        <v/>
      </c>
      <c r="F158" s="59"/>
      <c r="G158" s="59"/>
      <c r="H158" s="59"/>
      <c r="I158" s="59"/>
      <c r="J158" s="59"/>
    </row>
    <row r="159" customFormat="false" ht="15" hidden="false" customHeight="false" outlineLevel="0" collapsed="false">
      <c r="A159" s="59"/>
      <c r="B159" s="59"/>
      <c r="C159" s="59"/>
      <c r="D159" s="59"/>
      <c r="E159" s="60" t="str">
        <f aca="false">IF(OR(C159="",D159=""),"",D159-C159)</f>
        <v/>
      </c>
      <c r="F159" s="59"/>
      <c r="G159" s="59"/>
      <c r="H159" s="59"/>
      <c r="I159" s="59"/>
      <c r="J159" s="59"/>
    </row>
    <row r="160" customFormat="false" ht="15" hidden="false" customHeight="false" outlineLevel="0" collapsed="false">
      <c r="A160" s="59"/>
      <c r="B160" s="59"/>
      <c r="C160" s="59"/>
      <c r="D160" s="59"/>
      <c r="E160" s="60" t="str">
        <f aca="false">IF(OR(C160="",D160=""),"",D160-C160)</f>
        <v/>
      </c>
      <c r="F160" s="59"/>
      <c r="G160" s="59"/>
      <c r="H160" s="59"/>
      <c r="I160" s="59"/>
      <c r="J160" s="59"/>
    </row>
    <row r="161" customFormat="false" ht="15" hidden="false" customHeight="false" outlineLevel="0" collapsed="false">
      <c r="A161" s="59"/>
      <c r="B161" s="59"/>
      <c r="C161" s="59"/>
      <c r="D161" s="59"/>
      <c r="E161" s="60" t="str">
        <f aca="false">IF(OR(C161="",D161=""),"",D161-C161)</f>
        <v/>
      </c>
      <c r="F161" s="59"/>
      <c r="G161" s="59"/>
      <c r="H161" s="59"/>
      <c r="I161" s="59"/>
      <c r="J161" s="59"/>
    </row>
    <row r="162" customFormat="false" ht="15" hidden="false" customHeight="false" outlineLevel="0" collapsed="false">
      <c r="A162" s="59"/>
      <c r="B162" s="59"/>
      <c r="C162" s="59"/>
      <c r="D162" s="59"/>
      <c r="E162" s="60" t="str">
        <f aca="false">IF(OR(C162="",D162=""),"",D162-C162)</f>
        <v/>
      </c>
      <c r="F162" s="59"/>
      <c r="G162" s="59"/>
      <c r="H162" s="59"/>
      <c r="I162" s="59"/>
      <c r="J162" s="59"/>
    </row>
    <row r="163" customFormat="false" ht="15" hidden="false" customHeight="false" outlineLevel="0" collapsed="false">
      <c r="A163" s="59"/>
      <c r="B163" s="59"/>
      <c r="C163" s="59"/>
      <c r="D163" s="59"/>
      <c r="E163" s="60" t="str">
        <f aca="false">IF(OR(C163="",D163=""),"",D163-C163)</f>
        <v/>
      </c>
      <c r="F163" s="59"/>
      <c r="G163" s="59"/>
      <c r="H163" s="59"/>
      <c r="I163" s="59"/>
      <c r="J163" s="59"/>
    </row>
    <row r="164" customFormat="false" ht="15" hidden="false" customHeight="false" outlineLevel="0" collapsed="false">
      <c r="A164" s="59"/>
      <c r="B164" s="59"/>
      <c r="C164" s="59"/>
      <c r="D164" s="59"/>
      <c r="E164" s="60" t="str">
        <f aca="false">IF(OR(C164="",D164=""),"",D164-C164)</f>
        <v/>
      </c>
      <c r="F164" s="59"/>
      <c r="G164" s="59"/>
      <c r="H164" s="59"/>
      <c r="I164" s="59"/>
      <c r="J164" s="59"/>
    </row>
    <row r="165" customFormat="false" ht="15" hidden="false" customHeight="false" outlineLevel="0" collapsed="false">
      <c r="A165" s="59"/>
      <c r="B165" s="59"/>
      <c r="C165" s="59"/>
      <c r="D165" s="59"/>
      <c r="E165" s="60" t="str">
        <f aca="false">IF(OR(C165="",D165=""),"",D165-C165)</f>
        <v/>
      </c>
      <c r="F165" s="59"/>
      <c r="G165" s="59"/>
      <c r="H165" s="59"/>
      <c r="I165" s="59"/>
      <c r="J165" s="59"/>
    </row>
    <row r="166" customFormat="false" ht="15" hidden="false" customHeight="false" outlineLevel="0" collapsed="false">
      <c r="A166" s="59"/>
      <c r="B166" s="59"/>
      <c r="C166" s="59"/>
      <c r="D166" s="59"/>
      <c r="E166" s="60" t="str">
        <f aca="false">IF(OR(C166="",D166=""),"",D166-C166)</f>
        <v/>
      </c>
      <c r="F166" s="59"/>
      <c r="G166" s="59"/>
      <c r="H166" s="59"/>
      <c r="I166" s="59"/>
      <c r="J166" s="59"/>
    </row>
    <row r="167" customFormat="false" ht="15" hidden="false" customHeight="false" outlineLevel="0" collapsed="false">
      <c r="A167" s="59"/>
      <c r="B167" s="59"/>
      <c r="C167" s="59"/>
      <c r="D167" s="59"/>
      <c r="E167" s="60" t="str">
        <f aca="false">IF(OR(C167="",D167=""),"",D167-C167)</f>
        <v/>
      </c>
      <c r="F167" s="59"/>
      <c r="G167" s="59"/>
      <c r="H167" s="59"/>
      <c r="I167" s="59"/>
      <c r="J167" s="59"/>
    </row>
    <row r="168" customFormat="false" ht="15" hidden="false" customHeight="false" outlineLevel="0" collapsed="false">
      <c r="A168" s="59"/>
      <c r="B168" s="59"/>
      <c r="C168" s="59"/>
      <c r="D168" s="59"/>
      <c r="E168" s="60" t="str">
        <f aca="false">IF(OR(C168="",D168=""),"",D168-C168)</f>
        <v/>
      </c>
      <c r="F168" s="59"/>
      <c r="G168" s="59"/>
      <c r="H168" s="59"/>
      <c r="I168" s="59"/>
      <c r="J168" s="59"/>
    </row>
    <row r="169" customFormat="false" ht="15" hidden="false" customHeight="false" outlineLevel="0" collapsed="false">
      <c r="A169" s="59"/>
      <c r="B169" s="59"/>
      <c r="C169" s="59"/>
      <c r="D169" s="59"/>
      <c r="E169" s="60" t="str">
        <f aca="false">IF(OR(C169="",D169=""),"",D169-C169)</f>
        <v/>
      </c>
      <c r="F169" s="59"/>
      <c r="G169" s="59"/>
      <c r="H169" s="59"/>
      <c r="I169" s="59"/>
      <c r="J169" s="59"/>
    </row>
    <row r="170" customFormat="false" ht="15" hidden="false" customHeight="false" outlineLevel="0" collapsed="false">
      <c r="A170" s="59"/>
      <c r="B170" s="59"/>
      <c r="C170" s="59"/>
      <c r="D170" s="59"/>
      <c r="E170" s="60" t="str">
        <f aca="false">IF(OR(C170="",D170=""),"",D170-C170)</f>
        <v/>
      </c>
      <c r="F170" s="59"/>
      <c r="G170" s="59"/>
      <c r="H170" s="59"/>
      <c r="I170" s="59"/>
      <c r="J170" s="59"/>
    </row>
    <row r="171" customFormat="false" ht="15" hidden="false" customHeight="false" outlineLevel="0" collapsed="false">
      <c r="A171" s="59"/>
      <c r="B171" s="59"/>
      <c r="C171" s="59"/>
      <c r="D171" s="59"/>
      <c r="E171" s="60" t="str">
        <f aca="false">IF(OR(C171="",D171=""),"",D171-C171)</f>
        <v/>
      </c>
      <c r="F171" s="59"/>
      <c r="G171" s="59"/>
      <c r="H171" s="59"/>
      <c r="I171" s="59"/>
      <c r="J171" s="59"/>
    </row>
    <row r="172" customFormat="false" ht="15" hidden="false" customHeight="false" outlineLevel="0" collapsed="false">
      <c r="A172" s="59"/>
      <c r="B172" s="59"/>
      <c r="C172" s="59"/>
      <c r="D172" s="59"/>
      <c r="E172" s="60" t="str">
        <f aca="false">IF(OR(C172="",D172=""),"",D172-C172)</f>
        <v/>
      </c>
      <c r="F172" s="59"/>
      <c r="G172" s="59"/>
      <c r="H172" s="59"/>
      <c r="I172" s="59"/>
      <c r="J172" s="59"/>
    </row>
    <row r="173" customFormat="false" ht="15" hidden="false" customHeight="false" outlineLevel="0" collapsed="false">
      <c r="A173" s="59"/>
      <c r="B173" s="59"/>
      <c r="C173" s="59"/>
      <c r="D173" s="59"/>
      <c r="E173" s="60" t="str">
        <f aca="false">IF(OR(C173="",D173=""),"",D173-C173)</f>
        <v/>
      </c>
      <c r="F173" s="59"/>
      <c r="G173" s="59"/>
      <c r="H173" s="59"/>
      <c r="I173" s="59"/>
      <c r="J173" s="59"/>
    </row>
    <row r="174" customFormat="false" ht="15" hidden="false" customHeight="false" outlineLevel="0" collapsed="false">
      <c r="A174" s="59"/>
      <c r="B174" s="59"/>
      <c r="C174" s="59"/>
      <c r="D174" s="59"/>
      <c r="E174" s="60" t="str">
        <f aca="false">IF(OR(C174="",D174=""),"",D174-C174)</f>
        <v/>
      </c>
      <c r="F174" s="59"/>
      <c r="G174" s="59"/>
      <c r="H174" s="59"/>
      <c r="I174" s="59"/>
      <c r="J174" s="59"/>
    </row>
    <row r="175" customFormat="false" ht="15" hidden="false" customHeight="false" outlineLevel="0" collapsed="false">
      <c r="A175" s="59"/>
      <c r="B175" s="59"/>
      <c r="C175" s="59"/>
      <c r="D175" s="59"/>
      <c r="E175" s="60" t="str">
        <f aca="false">IF(OR(C175="",D175=""),"",D175-C175)</f>
        <v/>
      </c>
      <c r="F175" s="59"/>
      <c r="G175" s="59"/>
      <c r="H175" s="59"/>
      <c r="I175" s="59"/>
      <c r="J175" s="59"/>
    </row>
    <row r="176" customFormat="false" ht="15" hidden="false" customHeight="false" outlineLevel="0" collapsed="false">
      <c r="A176" s="59"/>
      <c r="B176" s="59"/>
      <c r="C176" s="59"/>
      <c r="D176" s="59"/>
      <c r="E176" s="60" t="str">
        <f aca="false">IF(OR(C176="",D176=""),"",D176-C176)</f>
        <v/>
      </c>
      <c r="F176" s="59"/>
      <c r="G176" s="59"/>
      <c r="H176" s="59"/>
      <c r="I176" s="59"/>
      <c r="J176" s="59"/>
    </row>
    <row r="177" customFormat="false" ht="15" hidden="false" customHeight="false" outlineLevel="0" collapsed="false">
      <c r="A177" s="59"/>
      <c r="B177" s="59"/>
      <c r="C177" s="59"/>
      <c r="D177" s="59"/>
      <c r="E177" s="60" t="str">
        <f aca="false">IF(OR(C177="",D177=""),"",D177-C177)</f>
        <v/>
      </c>
      <c r="F177" s="59"/>
      <c r="G177" s="59"/>
      <c r="H177" s="59"/>
      <c r="I177" s="59"/>
      <c r="J177" s="59"/>
    </row>
    <row r="178" customFormat="false" ht="15" hidden="false" customHeight="false" outlineLevel="0" collapsed="false">
      <c r="A178" s="59"/>
      <c r="B178" s="59"/>
      <c r="C178" s="59"/>
      <c r="D178" s="59"/>
      <c r="E178" s="60" t="str">
        <f aca="false">IF(OR(C178="",D178=""),"",D178-C178)</f>
        <v/>
      </c>
      <c r="F178" s="59"/>
      <c r="G178" s="59"/>
      <c r="H178" s="59"/>
      <c r="I178" s="59"/>
      <c r="J178" s="59"/>
    </row>
    <row r="179" customFormat="false" ht="15" hidden="false" customHeight="false" outlineLevel="0" collapsed="false">
      <c r="A179" s="59"/>
      <c r="B179" s="59"/>
      <c r="C179" s="59"/>
      <c r="D179" s="59"/>
      <c r="E179" s="60" t="str">
        <f aca="false">IF(OR(C179="",D179=""),"",D179-C179)</f>
        <v/>
      </c>
      <c r="F179" s="59"/>
      <c r="G179" s="59"/>
      <c r="H179" s="59"/>
      <c r="I179" s="59"/>
      <c r="J179" s="59"/>
    </row>
    <row r="180" customFormat="false" ht="15" hidden="false" customHeight="false" outlineLevel="0" collapsed="false">
      <c r="A180" s="59"/>
      <c r="B180" s="59"/>
      <c r="C180" s="59"/>
      <c r="D180" s="59"/>
      <c r="E180" s="60" t="str">
        <f aca="false">IF(OR(C180="",D180=""),"",D180-C180)</f>
        <v/>
      </c>
      <c r="F180" s="59"/>
      <c r="G180" s="59"/>
      <c r="H180" s="59"/>
      <c r="I180" s="59"/>
      <c r="J180" s="59"/>
    </row>
    <row r="181" customFormat="false" ht="15" hidden="false" customHeight="false" outlineLevel="0" collapsed="false">
      <c r="A181" s="59"/>
      <c r="B181" s="59"/>
      <c r="C181" s="59"/>
      <c r="D181" s="59"/>
      <c r="E181" s="60" t="str">
        <f aca="false">IF(OR(C181="",D181=""),"",D181-C181)</f>
        <v/>
      </c>
      <c r="F181" s="59"/>
      <c r="G181" s="59"/>
      <c r="H181" s="59"/>
      <c r="I181" s="59"/>
      <c r="J181" s="59"/>
    </row>
    <row r="182" customFormat="false" ht="15" hidden="false" customHeight="false" outlineLevel="0" collapsed="false">
      <c r="A182" s="59"/>
      <c r="B182" s="59"/>
      <c r="C182" s="59"/>
      <c r="D182" s="59"/>
      <c r="E182" s="60" t="str">
        <f aca="false">IF(OR(C182="",D182=""),"",D182-C182)</f>
        <v/>
      </c>
      <c r="F182" s="59"/>
      <c r="G182" s="59"/>
      <c r="H182" s="59"/>
      <c r="I182" s="59"/>
      <c r="J182" s="59"/>
    </row>
    <row r="183" customFormat="false" ht="15" hidden="false" customHeight="false" outlineLevel="0" collapsed="false">
      <c r="A183" s="59"/>
      <c r="B183" s="59"/>
      <c r="C183" s="59"/>
      <c r="D183" s="59"/>
      <c r="E183" s="60" t="str">
        <f aca="false">IF(OR(C183="",D183=""),"",D183-C183)</f>
        <v/>
      </c>
      <c r="F183" s="59"/>
      <c r="G183" s="59"/>
      <c r="H183" s="59"/>
      <c r="I183" s="59"/>
      <c r="J183" s="59"/>
    </row>
    <row r="184" customFormat="false" ht="15" hidden="false" customHeight="false" outlineLevel="0" collapsed="false">
      <c r="A184" s="59"/>
      <c r="B184" s="59"/>
      <c r="C184" s="59"/>
      <c r="D184" s="59"/>
      <c r="E184" s="60" t="str">
        <f aca="false">IF(OR(C184="",D184=""),"",D184-C184)</f>
        <v/>
      </c>
      <c r="F184" s="59"/>
      <c r="G184" s="59"/>
      <c r="H184" s="59"/>
      <c r="I184" s="59"/>
      <c r="J184" s="59"/>
    </row>
    <row r="185" customFormat="false" ht="15" hidden="false" customHeight="false" outlineLevel="0" collapsed="false">
      <c r="A185" s="59"/>
      <c r="B185" s="59"/>
      <c r="C185" s="59"/>
      <c r="D185" s="59"/>
      <c r="E185" s="60" t="str">
        <f aca="false">IF(OR(C185="",D185=""),"",D185-C185)</f>
        <v/>
      </c>
      <c r="F185" s="59"/>
      <c r="G185" s="59"/>
      <c r="H185" s="59"/>
      <c r="I185" s="59"/>
      <c r="J185" s="59"/>
    </row>
    <row r="186" customFormat="false" ht="15" hidden="false" customHeight="false" outlineLevel="0" collapsed="false">
      <c r="A186" s="59"/>
      <c r="B186" s="59"/>
      <c r="C186" s="59"/>
      <c r="D186" s="59"/>
      <c r="E186" s="60" t="str">
        <f aca="false">IF(OR(C186="",D186=""),"",D186-C186)</f>
        <v/>
      </c>
      <c r="F186" s="59"/>
      <c r="G186" s="59"/>
      <c r="H186" s="59"/>
      <c r="I186" s="59"/>
      <c r="J186" s="59"/>
    </row>
    <row r="187" customFormat="false" ht="15" hidden="false" customHeight="false" outlineLevel="0" collapsed="false">
      <c r="A187" s="59"/>
      <c r="B187" s="59"/>
      <c r="C187" s="59"/>
      <c r="D187" s="59"/>
      <c r="E187" s="60" t="str">
        <f aca="false">IF(OR(C187="",D187=""),"",D187-C187)</f>
        <v/>
      </c>
      <c r="F187" s="59"/>
      <c r="G187" s="59"/>
      <c r="H187" s="59"/>
      <c r="I187" s="59"/>
      <c r="J187" s="59"/>
    </row>
    <row r="188" customFormat="false" ht="15" hidden="false" customHeight="false" outlineLevel="0" collapsed="false">
      <c r="A188" s="59"/>
      <c r="B188" s="59"/>
      <c r="C188" s="59"/>
      <c r="D188" s="59"/>
      <c r="E188" s="60" t="str">
        <f aca="false">IF(OR(C188="",D188=""),"",D188-C188)</f>
        <v/>
      </c>
      <c r="F188" s="59"/>
      <c r="G188" s="59"/>
      <c r="H188" s="59"/>
      <c r="I188" s="59"/>
      <c r="J188" s="59"/>
    </row>
    <row r="189" customFormat="false" ht="15" hidden="false" customHeight="false" outlineLevel="0" collapsed="false">
      <c r="A189" s="59"/>
      <c r="B189" s="59"/>
      <c r="C189" s="59"/>
      <c r="D189" s="59"/>
      <c r="E189" s="60" t="str">
        <f aca="false">IF(OR(C189="",D189=""),"",D189-C189)</f>
        <v/>
      </c>
      <c r="F189" s="59"/>
      <c r="G189" s="59"/>
      <c r="H189" s="59"/>
      <c r="I189" s="59"/>
      <c r="J189" s="59"/>
    </row>
    <row r="190" customFormat="false" ht="15" hidden="false" customHeight="false" outlineLevel="0" collapsed="false">
      <c r="A190" s="59"/>
      <c r="B190" s="59"/>
      <c r="C190" s="59"/>
      <c r="D190" s="59"/>
      <c r="E190" s="60" t="str">
        <f aca="false">IF(OR(C190="",D190=""),"",D190-C190)</f>
        <v/>
      </c>
      <c r="F190" s="59"/>
      <c r="G190" s="59"/>
      <c r="H190" s="59"/>
      <c r="I190" s="59"/>
      <c r="J190" s="59"/>
    </row>
    <row r="191" customFormat="false" ht="15" hidden="false" customHeight="false" outlineLevel="0" collapsed="false">
      <c r="A191" s="59"/>
      <c r="B191" s="59"/>
      <c r="C191" s="59"/>
      <c r="D191" s="59"/>
      <c r="E191" s="60" t="str">
        <f aca="false">IF(OR(C191="",D191=""),"",D191-C191)</f>
        <v/>
      </c>
      <c r="F191" s="59"/>
      <c r="G191" s="59"/>
      <c r="H191" s="59"/>
      <c r="I191" s="59"/>
      <c r="J191" s="59"/>
    </row>
    <row r="192" customFormat="false" ht="15" hidden="false" customHeight="false" outlineLevel="0" collapsed="false">
      <c r="A192" s="59"/>
      <c r="B192" s="59"/>
      <c r="C192" s="59"/>
      <c r="D192" s="59"/>
      <c r="E192" s="60" t="str">
        <f aca="false">IF(OR(C192="",D192=""),"",D192-C192)</f>
        <v/>
      </c>
      <c r="F192" s="59"/>
      <c r="G192" s="59"/>
      <c r="H192" s="59"/>
      <c r="I192" s="59"/>
      <c r="J192" s="59"/>
    </row>
    <row r="193" customFormat="false" ht="15" hidden="false" customHeight="false" outlineLevel="0" collapsed="false">
      <c r="A193" s="59"/>
      <c r="B193" s="59"/>
      <c r="C193" s="59"/>
      <c r="D193" s="59"/>
      <c r="E193" s="60" t="str">
        <f aca="false">IF(OR(C193="",D193=""),"",D193-C193)</f>
        <v/>
      </c>
      <c r="F193" s="59"/>
      <c r="G193" s="59"/>
      <c r="H193" s="59"/>
      <c r="I193" s="59"/>
      <c r="J193" s="59"/>
    </row>
    <row r="194" customFormat="false" ht="15" hidden="false" customHeight="false" outlineLevel="0" collapsed="false">
      <c r="A194" s="59"/>
      <c r="B194" s="59"/>
      <c r="C194" s="59"/>
      <c r="D194" s="59"/>
      <c r="E194" s="60" t="str">
        <f aca="false">IF(OR(C194="",D194=""),"",D194-C194)</f>
        <v/>
      </c>
      <c r="F194" s="59"/>
      <c r="G194" s="59"/>
      <c r="H194" s="59"/>
      <c r="I194" s="59"/>
      <c r="J194" s="59"/>
    </row>
    <row r="195" customFormat="false" ht="15" hidden="false" customHeight="false" outlineLevel="0" collapsed="false">
      <c r="A195" s="59"/>
      <c r="B195" s="59"/>
      <c r="C195" s="59"/>
      <c r="D195" s="59"/>
      <c r="E195" s="60" t="str">
        <f aca="false">IF(OR(C195="",D195=""),"",D195-C195)</f>
        <v/>
      </c>
      <c r="F195" s="59"/>
      <c r="G195" s="59"/>
      <c r="H195" s="59"/>
      <c r="I195" s="59"/>
      <c r="J195" s="59"/>
    </row>
    <row r="196" customFormat="false" ht="15" hidden="false" customHeight="false" outlineLevel="0" collapsed="false">
      <c r="A196" s="59"/>
      <c r="B196" s="59"/>
      <c r="C196" s="59"/>
      <c r="D196" s="59"/>
      <c r="E196" s="60" t="str">
        <f aca="false">IF(OR(C196="",D196=""),"",D196-C196)</f>
        <v/>
      </c>
      <c r="F196" s="59"/>
      <c r="G196" s="59"/>
      <c r="H196" s="59"/>
      <c r="I196" s="59"/>
      <c r="J196" s="59"/>
    </row>
    <row r="197" customFormat="false" ht="15" hidden="false" customHeight="false" outlineLevel="0" collapsed="false">
      <c r="A197" s="59"/>
      <c r="B197" s="59"/>
      <c r="C197" s="59"/>
      <c r="D197" s="59"/>
      <c r="E197" s="60" t="str">
        <f aca="false">IF(OR(C197="",D197=""),"",D197-C197)</f>
        <v/>
      </c>
      <c r="F197" s="59"/>
      <c r="G197" s="59"/>
      <c r="H197" s="59"/>
      <c r="I197" s="59"/>
      <c r="J197" s="59"/>
    </row>
    <row r="198" customFormat="false" ht="15" hidden="false" customHeight="false" outlineLevel="0" collapsed="false">
      <c r="A198" s="59"/>
      <c r="B198" s="59"/>
      <c r="C198" s="59"/>
      <c r="D198" s="59"/>
      <c r="E198" s="60" t="str">
        <f aca="false">IF(OR(C198="",D198=""),"",D198-C198)</f>
        <v/>
      </c>
      <c r="F198" s="59"/>
      <c r="G198" s="59"/>
      <c r="H198" s="59"/>
      <c r="I198" s="59"/>
      <c r="J198" s="59"/>
    </row>
    <row r="199" customFormat="false" ht="15" hidden="false" customHeight="false" outlineLevel="0" collapsed="false">
      <c r="A199" s="59"/>
      <c r="B199" s="59"/>
      <c r="C199" s="59"/>
      <c r="D199" s="59"/>
      <c r="E199" s="60" t="str">
        <f aca="false">IF(OR(C199="",D199=""),"",D199-C199)</f>
        <v/>
      </c>
      <c r="F199" s="59"/>
      <c r="G199" s="59"/>
      <c r="H199" s="59"/>
      <c r="I199" s="59"/>
      <c r="J199" s="59"/>
    </row>
    <row r="200" customFormat="false" ht="15" hidden="false" customHeight="false" outlineLevel="0" collapsed="false">
      <c r="A200" s="59"/>
      <c r="B200" s="59"/>
      <c r="C200" s="59"/>
      <c r="D200" s="59"/>
      <c r="E200" s="60" t="str">
        <f aca="false">IF(OR(C200="",D200=""),"",D200-C200)</f>
        <v/>
      </c>
      <c r="F200" s="59"/>
      <c r="G200" s="59"/>
      <c r="H200" s="59"/>
      <c r="I200" s="59"/>
      <c r="J200" s="59"/>
    </row>
  </sheetData>
  <dataValidations count="1">
    <dataValidation allowBlank="false" errorStyle="stop" operator="between" showDropDown="false" showErrorMessage="false" showInputMessage="false" sqref="G2:G200" type="list">
      <formula1>"Mantener,Ajustar,Eliminar,Escalar"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2026-10-22T02:43:08Z</dcterms:created>
  <dc:creator>openpyxl</dc:creator>
  <dc:description/>
  <dc:language>en-US</dc:language>
  <cp:lastModifiedBy/>
  <dcterms:modified xsi:type="dcterms:W3CDTF">2026-10-21T21:43:12Z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